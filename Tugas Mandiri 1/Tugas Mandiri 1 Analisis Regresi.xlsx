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F9E90E0-F1B3-4108-ACB4-E1C34E09D788}" xr6:coauthVersionLast="47" xr6:coauthVersionMax="47" xr10:uidLastSave="{00000000-0000-0000-0000-000000000000}"/>
  <bookViews>
    <workbookView xWindow="-110" yWindow="-110" windowWidth="19420" windowHeight="10300" xr2:uid="{AADA70CA-EB09-4B27-B2BC-347221395DCD}"/>
  </bookViews>
  <sheets>
    <sheet name="Pemodelan" sheetId="2" r:id="rId1"/>
    <sheet name="Data" sheetId="1" r:id="rId2"/>
    <sheet name="Sampling" sheetId="3" r:id="rId3"/>
  </sheets>
  <definedNames>
    <definedName name="_xlnm._FilterDatabase" localSheetId="0" hidden="1">Pemodelan!$A$1:$D$64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2" i="2" l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2" i="2"/>
  <c r="Y38" i="2"/>
  <c r="Y39" i="2"/>
  <c r="Y40" i="2"/>
  <c r="Y37" i="2"/>
  <c r="AB3" i="2"/>
  <c r="AB4" i="2"/>
  <c r="AB5" i="2"/>
  <c r="AB6" i="2"/>
  <c r="AB7" i="2"/>
  <c r="AB8" i="2"/>
  <c r="AB9" i="2"/>
  <c r="AC9" i="2" s="1"/>
  <c r="AB10" i="2"/>
  <c r="AB11" i="2"/>
  <c r="AB12" i="2"/>
  <c r="AB13" i="2"/>
  <c r="AB14" i="2"/>
  <c r="AB15" i="2"/>
  <c r="AB16" i="2"/>
  <c r="AC16" i="2" s="1"/>
  <c r="AB17" i="2"/>
  <c r="AC17" i="2" s="1"/>
  <c r="AB18" i="2"/>
  <c r="AC18" i="2" s="1"/>
  <c r="AB19" i="2"/>
  <c r="AB20" i="2"/>
  <c r="AB21" i="2"/>
  <c r="AB22" i="2"/>
  <c r="AB23" i="2"/>
  <c r="AB24" i="2"/>
  <c r="AB25" i="2"/>
  <c r="AC25" i="2" s="1"/>
  <c r="AB26" i="2"/>
  <c r="AC26" i="2" s="1"/>
  <c r="AB27" i="2"/>
  <c r="AB28" i="2"/>
  <c r="AB29" i="2"/>
  <c r="AB30" i="2"/>
  <c r="AB31" i="2"/>
  <c r="AA37" i="2"/>
  <c r="AB2" i="2"/>
  <c r="AA40" i="2"/>
  <c r="S33" i="2"/>
  <c r="A1" i="3"/>
  <c r="AC7" i="2"/>
  <c r="AC8" i="2"/>
  <c r="AC10" i="2"/>
  <c r="AC15" i="2"/>
  <c r="AC23" i="2"/>
  <c r="AC24" i="2"/>
  <c r="AC31" i="2"/>
  <c r="AC3" i="2"/>
  <c r="AC4" i="2"/>
  <c r="AC5" i="2"/>
  <c r="AC6" i="2"/>
  <c r="AC11" i="2"/>
  <c r="AC12" i="2"/>
  <c r="AC13" i="2"/>
  <c r="AC14" i="2"/>
  <c r="AC19" i="2"/>
  <c r="AC20" i="2"/>
  <c r="AC21" i="2"/>
  <c r="AC22" i="2"/>
  <c r="AC27" i="2"/>
  <c r="AC28" i="2"/>
  <c r="AC29" i="2"/>
  <c r="AC30" i="2"/>
  <c r="AC2" i="2"/>
  <c r="Y35" i="2"/>
  <c r="Y34" i="2"/>
  <c r="Z32" i="2"/>
  <c r="Y3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2" i="2"/>
  <c r="T32" i="2"/>
  <c r="S32" i="2"/>
  <c r="AC32" i="2" l="1"/>
  <c r="AB34" i="2" s="1"/>
</calcChain>
</file>

<file path=xl/sharedStrings.xml><?xml version="1.0" encoding="utf-8"?>
<sst xmlns="http://schemas.openxmlformats.org/spreadsheetml/2006/main" count="23" uniqueCount="13">
  <si>
    <t>No.</t>
  </si>
  <si>
    <t>YearsOfSchooling (X)</t>
  </si>
  <si>
    <t>HDI (Y)</t>
  </si>
  <si>
    <t>X-Xbar</t>
  </si>
  <si>
    <t>Y-Ybar</t>
  </si>
  <si>
    <t>Sxy</t>
  </si>
  <si>
    <t>Sxx</t>
  </si>
  <si>
    <t>β0</t>
  </si>
  <si>
    <r>
      <t>β</t>
    </r>
    <r>
      <rPr>
        <b/>
        <sz val="8.35"/>
        <color theme="1"/>
        <rFont val="Calibri"/>
        <family val="2"/>
      </rPr>
      <t>1</t>
    </r>
  </si>
  <si>
    <t>Galat</t>
  </si>
  <si>
    <t>Ragam_galat</t>
  </si>
  <si>
    <t>β1</t>
  </si>
  <si>
    <t>Syy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</si>
</sst>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Years of Schooling VS HDI (30)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Pemodelan!$H$1</c:f>
              <c:strCache>
                <c:ptCount val="1"/>
                <c:pt idx="0">
                  <c:v>HDI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Pemodelan!$G$2:$G$31</c:f>
              <c:numCache>
                <c:formatCode>General</c:formatCode>
                <c:ptCount val="30"/>
                <c:pt idx="0">
                  <c:v>18.996030000000001</c:v>
                </c:pt>
                <c:pt idx="1">
                  <c:v>16.45468</c:v>
                </c:pt>
                <c:pt idx="2">
                  <c:v>15.79271</c:v>
                </c:pt>
                <c:pt idx="3">
                  <c:v>15.888260000000001</c:v>
                </c:pt>
                <c:pt idx="4">
                  <c:v>16.284279999999999</c:v>
                </c:pt>
                <c:pt idx="5">
                  <c:v>11.188420000000001</c:v>
                </c:pt>
                <c:pt idx="6">
                  <c:v>14.94685</c:v>
                </c:pt>
                <c:pt idx="7">
                  <c:v>16.714200000000002</c:v>
                </c:pt>
                <c:pt idx="8">
                  <c:v>15.4694</c:v>
                </c:pt>
                <c:pt idx="9">
                  <c:v>15.923</c:v>
                </c:pt>
                <c:pt idx="10">
                  <c:v>16.215599999999998</c:v>
                </c:pt>
                <c:pt idx="11">
                  <c:v>12.46087</c:v>
                </c:pt>
                <c:pt idx="12">
                  <c:v>16.793500000000002</c:v>
                </c:pt>
                <c:pt idx="13">
                  <c:v>12.519769</c:v>
                </c:pt>
                <c:pt idx="14">
                  <c:v>14.93416</c:v>
                </c:pt>
                <c:pt idx="15">
                  <c:v>16.742280000000001</c:v>
                </c:pt>
                <c:pt idx="16">
                  <c:v>16.912420000000001</c:v>
                </c:pt>
                <c:pt idx="17">
                  <c:v>19.18488</c:v>
                </c:pt>
                <c:pt idx="18">
                  <c:v>18.85059</c:v>
                </c:pt>
                <c:pt idx="19">
                  <c:v>14.59442</c:v>
                </c:pt>
                <c:pt idx="20">
                  <c:v>18.584849999999999</c:v>
                </c:pt>
                <c:pt idx="21">
                  <c:v>15.96786</c:v>
                </c:pt>
                <c:pt idx="22">
                  <c:v>13.04355</c:v>
                </c:pt>
                <c:pt idx="23">
                  <c:v>17.477170000000001</c:v>
                </c:pt>
                <c:pt idx="24">
                  <c:v>13.328010000000001</c:v>
                </c:pt>
                <c:pt idx="25">
                  <c:v>14.468109999999999</c:v>
                </c:pt>
                <c:pt idx="26">
                  <c:v>14.05288</c:v>
                </c:pt>
                <c:pt idx="27">
                  <c:v>17.30922</c:v>
                </c:pt>
                <c:pt idx="28">
                  <c:v>14.907819999999999</c:v>
                </c:pt>
                <c:pt idx="29">
                  <c:v>18.70401</c:v>
                </c:pt>
              </c:numCache>
            </c:numRef>
          </c:xVal>
          <c:yVal>
            <c:numRef>
              <c:f>Pemodelan!$H$2:$H$31</c:f>
              <c:numCache>
                <c:formatCode>General</c:formatCode>
                <c:ptCount val="30"/>
                <c:pt idx="0">
                  <c:v>0.94499999999999995</c:v>
                </c:pt>
                <c:pt idx="1">
                  <c:v>0.88800000000000001</c:v>
                </c:pt>
                <c:pt idx="2">
                  <c:v>0.78</c:v>
                </c:pt>
                <c:pt idx="3">
                  <c:v>0.93500000000000005</c:v>
                </c:pt>
                <c:pt idx="4">
                  <c:v>0.92700000000000005</c:v>
                </c:pt>
                <c:pt idx="5">
                  <c:v>0.60199999999999998</c:v>
                </c:pt>
                <c:pt idx="6">
                  <c:v>0.873</c:v>
                </c:pt>
                <c:pt idx="7">
                  <c:v>0.90500000000000003</c:v>
                </c:pt>
                <c:pt idx="8">
                  <c:v>0.86699999999999999</c:v>
                </c:pt>
                <c:pt idx="9">
                  <c:v>0.93</c:v>
                </c:pt>
                <c:pt idx="10">
                  <c:v>0.90800000000000003</c:v>
                </c:pt>
                <c:pt idx="11">
                  <c:v>0.73699999999999999</c:v>
                </c:pt>
                <c:pt idx="12">
                  <c:v>0.91100000000000003</c:v>
                </c:pt>
                <c:pt idx="13">
                  <c:v>0.81</c:v>
                </c:pt>
                <c:pt idx="14">
                  <c:v>0.92100000000000004</c:v>
                </c:pt>
                <c:pt idx="15">
                  <c:v>0.94199999999999995</c:v>
                </c:pt>
                <c:pt idx="16">
                  <c:v>0.86899999999999999</c:v>
                </c:pt>
                <c:pt idx="17">
                  <c:v>0.94699999999999995</c:v>
                </c:pt>
                <c:pt idx="18">
                  <c:v>0.96399999999999997</c:v>
                </c:pt>
                <c:pt idx="19">
                  <c:v>0.70399999999999996</c:v>
                </c:pt>
                <c:pt idx="20">
                  <c:v>0.95299999999999996</c:v>
                </c:pt>
                <c:pt idx="21">
                  <c:v>0.90200000000000002</c:v>
                </c:pt>
                <c:pt idx="22">
                  <c:v>0.751</c:v>
                </c:pt>
                <c:pt idx="23">
                  <c:v>0.92600000000000005</c:v>
                </c:pt>
                <c:pt idx="24">
                  <c:v>0.77200000000000002</c:v>
                </c:pt>
                <c:pt idx="25">
                  <c:v>0.78300000000000003</c:v>
                </c:pt>
                <c:pt idx="26">
                  <c:v>0.84</c:v>
                </c:pt>
                <c:pt idx="27">
                  <c:v>0.95499999999999996</c:v>
                </c:pt>
                <c:pt idx="28">
                  <c:v>0.92100000000000004</c:v>
                </c:pt>
                <c:pt idx="29">
                  <c:v>0.95899999999999996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0-4146-B9D3-F7CD8BCF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675087"/>
        <c:axId val="481773359"/>
      </c:scatterChart>
      <c:valAx>
        <c:axId val="202367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Years of Schooling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773359"/>
        <c:crosses val="autoZero"/>
        <c:crossBetween val="midCat"/>
      </c:valAx>
      <c:valAx>
        <c:axId val="4817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HDI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7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Years of Schooling VS HDI (all)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Pemodelan!$C$1</c:f>
              <c:strCache>
                <c:ptCount val="1"/>
                <c:pt idx="0">
                  <c:v>HDI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Pemodelan!$B$2:$B$64</c:f>
              <c:numCache>
                <c:formatCode>General</c:formatCode>
                <c:ptCount val="63"/>
                <c:pt idx="0">
                  <c:v>18.996030000000001</c:v>
                </c:pt>
                <c:pt idx="1">
                  <c:v>16.45468</c:v>
                </c:pt>
                <c:pt idx="2">
                  <c:v>15.79271</c:v>
                </c:pt>
                <c:pt idx="3">
                  <c:v>15.888260000000001</c:v>
                </c:pt>
                <c:pt idx="4">
                  <c:v>16.284279999999999</c:v>
                </c:pt>
                <c:pt idx="5">
                  <c:v>11.188420000000001</c:v>
                </c:pt>
                <c:pt idx="6">
                  <c:v>14.94685</c:v>
                </c:pt>
                <c:pt idx="7">
                  <c:v>16.714200000000002</c:v>
                </c:pt>
                <c:pt idx="8">
                  <c:v>15.4694</c:v>
                </c:pt>
                <c:pt idx="9">
                  <c:v>15.923</c:v>
                </c:pt>
                <c:pt idx="10">
                  <c:v>16.215599999999998</c:v>
                </c:pt>
                <c:pt idx="11">
                  <c:v>12.46087</c:v>
                </c:pt>
                <c:pt idx="12">
                  <c:v>16.793500000000002</c:v>
                </c:pt>
                <c:pt idx="13">
                  <c:v>12.519769</c:v>
                </c:pt>
                <c:pt idx="14">
                  <c:v>14.93416</c:v>
                </c:pt>
                <c:pt idx="15">
                  <c:v>16.742280000000001</c:v>
                </c:pt>
                <c:pt idx="16">
                  <c:v>16.912420000000001</c:v>
                </c:pt>
                <c:pt idx="17">
                  <c:v>19.18488</c:v>
                </c:pt>
                <c:pt idx="18">
                  <c:v>18.85059</c:v>
                </c:pt>
                <c:pt idx="19">
                  <c:v>14.59442</c:v>
                </c:pt>
                <c:pt idx="20">
                  <c:v>18.584849999999999</c:v>
                </c:pt>
                <c:pt idx="21">
                  <c:v>15.96786</c:v>
                </c:pt>
                <c:pt idx="22">
                  <c:v>13.04355</c:v>
                </c:pt>
                <c:pt idx="23">
                  <c:v>17.477170000000001</c:v>
                </c:pt>
                <c:pt idx="24">
                  <c:v>13.328010000000001</c:v>
                </c:pt>
                <c:pt idx="25">
                  <c:v>14.468109999999999</c:v>
                </c:pt>
                <c:pt idx="26">
                  <c:v>14.05288</c:v>
                </c:pt>
                <c:pt idx="27">
                  <c:v>17.30922</c:v>
                </c:pt>
                <c:pt idx="28">
                  <c:v>14.907819999999999</c:v>
                </c:pt>
                <c:pt idx="29">
                  <c:v>18.70401</c:v>
                </c:pt>
                <c:pt idx="30">
                  <c:v>18.792850000000001</c:v>
                </c:pt>
                <c:pt idx="31">
                  <c:v>16.34815</c:v>
                </c:pt>
                <c:pt idx="32">
                  <c:v>20.654779999999999</c:v>
                </c:pt>
                <c:pt idx="33">
                  <c:v>15.492470000000001</c:v>
                </c:pt>
                <c:pt idx="34">
                  <c:v>14.78144</c:v>
                </c:pt>
                <c:pt idx="35">
                  <c:v>15.358834999999999</c:v>
                </c:pt>
                <c:pt idx="36">
                  <c:v>19.8308</c:v>
                </c:pt>
                <c:pt idx="37">
                  <c:v>16.678280000000001</c:v>
                </c:pt>
                <c:pt idx="38">
                  <c:v>13.141159999999999</c:v>
                </c:pt>
                <c:pt idx="39">
                  <c:v>14.6701</c:v>
                </c:pt>
                <c:pt idx="40">
                  <c:v>17.48396</c:v>
                </c:pt>
                <c:pt idx="41">
                  <c:v>14.909393</c:v>
                </c:pt>
                <c:pt idx="42">
                  <c:v>17.486820000000002</c:v>
                </c:pt>
                <c:pt idx="43">
                  <c:v>15.511979999999999</c:v>
                </c:pt>
                <c:pt idx="44">
                  <c:v>16.095120000000001</c:v>
                </c:pt>
                <c:pt idx="45">
                  <c:v>12.819046999999999</c:v>
                </c:pt>
                <c:pt idx="46">
                  <c:v>16.667529999999999</c:v>
                </c:pt>
                <c:pt idx="47">
                  <c:v>19.300049999999999</c:v>
                </c:pt>
                <c:pt idx="48">
                  <c:v>16.72683</c:v>
                </c:pt>
                <c:pt idx="49">
                  <c:v>18.99147</c:v>
                </c:pt>
                <c:pt idx="50">
                  <c:v>16.94943</c:v>
                </c:pt>
                <c:pt idx="51">
                  <c:v>17.811070000000001</c:v>
                </c:pt>
                <c:pt idx="52">
                  <c:v>18.831209999999999</c:v>
                </c:pt>
                <c:pt idx="53">
                  <c:v>15.042160000000001</c:v>
                </c:pt>
                <c:pt idx="54">
                  <c:v>14.018860999999999</c:v>
                </c:pt>
                <c:pt idx="55">
                  <c:v>13.637653999999999</c:v>
                </c:pt>
                <c:pt idx="56">
                  <c:v>19.49409</c:v>
                </c:pt>
                <c:pt idx="57">
                  <c:v>20.845500000000001</c:v>
                </c:pt>
                <c:pt idx="58">
                  <c:v>17.830310000000001</c:v>
                </c:pt>
                <c:pt idx="59">
                  <c:v>16.48265</c:v>
                </c:pt>
                <c:pt idx="60">
                  <c:v>13.416175000000001</c:v>
                </c:pt>
                <c:pt idx="61">
                  <c:v>15.31664</c:v>
                </c:pt>
                <c:pt idx="62">
                  <c:v>16.618639999999999</c:v>
                </c:pt>
              </c:numCache>
            </c:numRef>
          </c:xVal>
          <c:yVal>
            <c:numRef>
              <c:f>Pemodelan!$C$2:$C$64</c:f>
              <c:numCache>
                <c:formatCode>General</c:formatCode>
                <c:ptCount val="63"/>
                <c:pt idx="0">
                  <c:v>0.94499999999999995</c:v>
                </c:pt>
                <c:pt idx="1">
                  <c:v>0.88800000000000001</c:v>
                </c:pt>
                <c:pt idx="2">
                  <c:v>0.78</c:v>
                </c:pt>
                <c:pt idx="3">
                  <c:v>0.93500000000000005</c:v>
                </c:pt>
                <c:pt idx="4">
                  <c:v>0.92700000000000005</c:v>
                </c:pt>
                <c:pt idx="5">
                  <c:v>0.60199999999999998</c:v>
                </c:pt>
                <c:pt idx="6">
                  <c:v>0.873</c:v>
                </c:pt>
                <c:pt idx="7">
                  <c:v>0.90500000000000003</c:v>
                </c:pt>
                <c:pt idx="8">
                  <c:v>0.86699999999999999</c:v>
                </c:pt>
                <c:pt idx="9">
                  <c:v>0.93</c:v>
                </c:pt>
                <c:pt idx="10">
                  <c:v>0.90800000000000003</c:v>
                </c:pt>
                <c:pt idx="11">
                  <c:v>0.73699999999999999</c:v>
                </c:pt>
                <c:pt idx="12">
                  <c:v>0.91100000000000003</c:v>
                </c:pt>
                <c:pt idx="13">
                  <c:v>0.81</c:v>
                </c:pt>
                <c:pt idx="14">
                  <c:v>0.92100000000000004</c:v>
                </c:pt>
                <c:pt idx="15">
                  <c:v>0.94199999999999995</c:v>
                </c:pt>
                <c:pt idx="16">
                  <c:v>0.86899999999999999</c:v>
                </c:pt>
                <c:pt idx="17">
                  <c:v>0.94699999999999995</c:v>
                </c:pt>
                <c:pt idx="18">
                  <c:v>0.96399999999999997</c:v>
                </c:pt>
                <c:pt idx="19">
                  <c:v>0.70399999999999996</c:v>
                </c:pt>
                <c:pt idx="20">
                  <c:v>0.95299999999999996</c:v>
                </c:pt>
                <c:pt idx="21">
                  <c:v>0.90200000000000002</c:v>
                </c:pt>
                <c:pt idx="22">
                  <c:v>0.751</c:v>
                </c:pt>
                <c:pt idx="23">
                  <c:v>0.92600000000000005</c:v>
                </c:pt>
                <c:pt idx="24">
                  <c:v>0.77200000000000002</c:v>
                </c:pt>
                <c:pt idx="25">
                  <c:v>0.78300000000000003</c:v>
                </c:pt>
                <c:pt idx="26">
                  <c:v>0.84</c:v>
                </c:pt>
                <c:pt idx="27">
                  <c:v>0.95499999999999996</c:v>
                </c:pt>
                <c:pt idx="28">
                  <c:v>0.92100000000000004</c:v>
                </c:pt>
                <c:pt idx="29">
                  <c:v>0.95899999999999996</c:v>
                </c:pt>
                <c:pt idx="30">
                  <c:v>0.96699999999999997</c:v>
                </c:pt>
                <c:pt idx="31">
                  <c:v>0.88600000000000001</c:v>
                </c:pt>
                <c:pt idx="32">
                  <c:v>0.95199999999999996</c:v>
                </c:pt>
                <c:pt idx="33">
                  <c:v>0.85299999999999998</c:v>
                </c:pt>
                <c:pt idx="34">
                  <c:v>0.81100000000000005</c:v>
                </c:pt>
                <c:pt idx="35">
                  <c:v>0.79200000000000004</c:v>
                </c:pt>
                <c:pt idx="36">
                  <c:v>0.85299999999999998</c:v>
                </c:pt>
                <c:pt idx="37">
                  <c:v>0.90200000000000002</c:v>
                </c:pt>
                <c:pt idx="38">
                  <c:v>0.88300000000000001</c:v>
                </c:pt>
                <c:pt idx="39">
                  <c:v>0.80600000000000005</c:v>
                </c:pt>
                <c:pt idx="40">
                  <c:v>0.85199999999999998</c:v>
                </c:pt>
                <c:pt idx="41">
                  <c:v>0.79</c:v>
                </c:pt>
                <c:pt idx="42">
                  <c:v>0.88300000000000001</c:v>
                </c:pt>
                <c:pt idx="43">
                  <c:v>0.92100000000000004</c:v>
                </c:pt>
                <c:pt idx="44">
                  <c:v>0.91600000000000004</c:v>
                </c:pt>
                <c:pt idx="45">
                  <c:v>0.71399999999999997</c:v>
                </c:pt>
                <c:pt idx="46">
                  <c:v>0.96599999999999997</c:v>
                </c:pt>
                <c:pt idx="47">
                  <c:v>0.93300000000000005</c:v>
                </c:pt>
                <c:pt idx="48">
                  <c:v>0.83799999999999997</c:v>
                </c:pt>
                <c:pt idx="49">
                  <c:v>0.95899999999999996</c:v>
                </c:pt>
                <c:pt idx="50">
                  <c:v>0.89300000000000002</c:v>
                </c:pt>
                <c:pt idx="51">
                  <c:v>0.94599999999999995</c:v>
                </c:pt>
                <c:pt idx="52">
                  <c:v>0.85799999999999998</c:v>
                </c:pt>
                <c:pt idx="53">
                  <c:v>0.82599999999999996</c:v>
                </c:pt>
                <c:pt idx="54">
                  <c:v>0.83099999999999996</c:v>
                </c:pt>
                <c:pt idx="55">
                  <c:v>0.74199999999999999</c:v>
                </c:pt>
                <c:pt idx="56">
                  <c:v>0.94599999999999995</c:v>
                </c:pt>
                <c:pt idx="57">
                  <c:v>0.89700000000000002</c:v>
                </c:pt>
                <c:pt idx="58">
                  <c:v>0.91100000000000003</c:v>
                </c:pt>
                <c:pt idx="59">
                  <c:v>0.88100000000000001</c:v>
                </c:pt>
                <c:pt idx="60">
                  <c:v>0.72599999999999998</c:v>
                </c:pt>
                <c:pt idx="61">
                  <c:v>0.83499999999999996</c:v>
                </c:pt>
                <c:pt idx="62">
                  <c:v>0.92800000000000005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F-43CD-8C58-0D1522DCF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267119"/>
        <c:axId val="476267599"/>
      </c:scatterChart>
      <c:valAx>
        <c:axId val="476267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Years of Schooling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67599"/>
        <c:crosses val="autoZero"/>
        <c:crossBetween val="midCat"/>
      </c:valAx>
      <c:valAx>
        <c:axId val="4762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HDI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6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4989</xdr:colOff>
      <xdr:row>1</xdr:row>
      <xdr:rowOff>907</xdr:rowOff>
    </xdr:from>
    <xdr:to>
      <xdr:col>16</xdr:col>
      <xdr:colOff>317046</xdr:colOff>
      <xdr:row>15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5E8F4-383C-033A-0F25-CC83D5B40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4536</xdr:colOff>
      <xdr:row>16</xdr:row>
      <xdr:rowOff>178102</xdr:rowOff>
    </xdr:from>
    <xdr:to>
      <xdr:col>16</xdr:col>
      <xdr:colOff>290286</xdr:colOff>
      <xdr:row>32</xdr:row>
      <xdr:rowOff>18445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7050D-9164-18C7-D76C-DD7137A8A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21C9-5B93-47B9-B264-08A900ACFAD2}">
  <dimension ref="A1:AE64"/>
  <sheetViews>
    <sheetView tabSelected="1" zoomScale="64" workbookViewId="0">
      <selection activeCell="R15" sqref="R15"/>
    </sheetView>
  </sheetViews>
  <sheetFormatPr defaultRowHeight="14.5" x14ac:dyDescent="0.35"/>
  <cols>
    <col min="1" max="1" width="3.7265625" bestFit="1" customWidth="1"/>
    <col min="2" max="2" width="18.26953125" bestFit="1" customWidth="1"/>
    <col min="3" max="3" width="6.6328125" bestFit="1" customWidth="1"/>
    <col min="6" max="6" width="3.7265625" bestFit="1" customWidth="1"/>
    <col min="7" max="7" width="18.26953125" bestFit="1" customWidth="1"/>
    <col min="8" max="8" width="6.6328125" bestFit="1" customWidth="1"/>
    <col min="19" max="19" width="18.7265625" bestFit="1" customWidth="1"/>
    <col min="27" max="27" width="11.81640625" bestFit="1" customWidth="1"/>
    <col min="29" max="29" width="12.089843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  <c r="S1" s="1" t="s">
        <v>1</v>
      </c>
      <c r="T1" s="1" t="s">
        <v>2</v>
      </c>
      <c r="V1" s="4" t="s">
        <v>8</v>
      </c>
      <c r="W1" s="4" t="s">
        <v>3</v>
      </c>
      <c r="X1" s="4" t="s">
        <v>4</v>
      </c>
      <c r="Y1" s="4" t="s">
        <v>5</v>
      </c>
      <c r="Z1" s="4" t="s">
        <v>6</v>
      </c>
      <c r="AB1" s="4" t="s">
        <v>9</v>
      </c>
      <c r="AE1" s="1" t="s">
        <v>12</v>
      </c>
    </row>
    <row r="2" spans="1:31" x14ac:dyDescent="0.35">
      <c r="A2" s="1">
        <v>5</v>
      </c>
      <c r="B2">
        <v>18.996030000000001</v>
      </c>
      <c r="C2">
        <v>0.94499999999999995</v>
      </c>
      <c r="D2">
        <v>0.93224477164117381</v>
      </c>
      <c r="F2" s="1">
        <v>5</v>
      </c>
      <c r="G2">
        <v>18.996030000000001</v>
      </c>
      <c r="H2">
        <v>0.94499999999999995</v>
      </c>
      <c r="S2">
        <v>18.996030000000001</v>
      </c>
      <c r="T2">
        <v>0.94499999999999995</v>
      </c>
      <c r="W2">
        <f>S2-$S$32</f>
        <v>3.1723700333333333</v>
      </c>
      <c r="X2">
        <f>T2-$T$32</f>
        <v>7.4100000000000055E-2</v>
      </c>
      <c r="Y2">
        <f>W2*X2</f>
        <v>0.23507261947000016</v>
      </c>
      <c r="Z2">
        <f>W2^2</f>
        <v>10.063931628391334</v>
      </c>
      <c r="AA2">
        <v>1</v>
      </c>
      <c r="AB2">
        <f>T2-($Y$35+$Y$34*AA2)</f>
        <v>0.61039692361798403</v>
      </c>
      <c r="AC2">
        <f>AB2^2</f>
        <v>0.37258440436229906</v>
      </c>
      <c r="AE2">
        <f>X2^2</f>
        <v>5.4908100000000083E-3</v>
      </c>
    </row>
    <row r="3" spans="1:31" x14ac:dyDescent="0.35">
      <c r="A3" s="1">
        <v>31</v>
      </c>
      <c r="B3">
        <v>16.45468</v>
      </c>
      <c r="C3">
        <v>0.88800000000000001</v>
      </c>
      <c r="D3">
        <v>0.90719969414042789</v>
      </c>
      <c r="F3" s="1">
        <v>31</v>
      </c>
      <c r="G3">
        <v>16.45468</v>
      </c>
      <c r="H3">
        <v>0.88800000000000001</v>
      </c>
      <c r="S3">
        <v>16.45468</v>
      </c>
      <c r="T3">
        <v>0.88800000000000001</v>
      </c>
      <c r="W3">
        <f t="shared" ref="W3:W31" si="0">S3-$S$32</f>
        <v>0.63102003333333201</v>
      </c>
      <c r="X3">
        <f t="shared" ref="X3:X31" si="1">T3-$T$32</f>
        <v>1.7100000000000115E-2</v>
      </c>
      <c r="Y3">
        <f t="shared" ref="Y3:Y31" si="2">W3*X3</f>
        <v>1.079044257000005E-2</v>
      </c>
      <c r="Z3">
        <f t="shared" ref="Z3:Z31" si="3">W3^2</f>
        <v>0.39818628246799942</v>
      </c>
      <c r="AA3">
        <v>2</v>
      </c>
      <c r="AB3">
        <f t="shared" ref="AB3:AB31" si="4">T3-($Y$35+$Y$34*AA3)</f>
        <v>0.51721848153121663</v>
      </c>
      <c r="AC3">
        <f t="shared" ref="AC3:AC31" si="5">AB3^2</f>
        <v>0.26751495763745747</v>
      </c>
      <c r="AE3">
        <f t="shared" ref="AE3:AE31" si="6">X3^2</f>
        <v>2.9241000000000396E-4</v>
      </c>
    </row>
    <row r="4" spans="1:31" x14ac:dyDescent="0.35">
      <c r="A4" s="1">
        <v>6</v>
      </c>
      <c r="B4">
        <v>15.79271</v>
      </c>
      <c r="C4">
        <v>0.78</v>
      </c>
      <c r="D4">
        <v>0.8877132934265578</v>
      </c>
      <c r="F4" s="1">
        <v>6</v>
      </c>
      <c r="G4">
        <v>15.79271</v>
      </c>
      <c r="H4">
        <v>0.78</v>
      </c>
      <c r="S4">
        <v>15.79271</v>
      </c>
      <c r="T4">
        <v>0.78</v>
      </c>
      <c r="W4">
        <f t="shared" si="0"/>
        <v>-3.0949966666668161E-2</v>
      </c>
      <c r="X4">
        <f t="shared" si="1"/>
        <v>-9.089999999999987E-2</v>
      </c>
      <c r="Y4">
        <f t="shared" si="2"/>
        <v>2.8133519700001318E-3</v>
      </c>
      <c r="Z4">
        <f t="shared" si="3"/>
        <v>9.5790043666787029E-4</v>
      </c>
      <c r="AA4">
        <v>3</v>
      </c>
      <c r="AB4">
        <f t="shared" si="4"/>
        <v>0.37304003944444919</v>
      </c>
      <c r="AC4">
        <f t="shared" si="5"/>
        <v>0.13915887102871621</v>
      </c>
      <c r="AE4">
        <f t="shared" si="6"/>
        <v>8.2628099999999764E-3</v>
      </c>
    </row>
    <row r="5" spans="1:31" x14ac:dyDescent="0.35">
      <c r="A5" s="1">
        <v>9</v>
      </c>
      <c r="B5">
        <v>15.888260000000001</v>
      </c>
      <c r="C5">
        <v>0.93500000000000005</v>
      </c>
      <c r="D5">
        <v>0.85340856050550584</v>
      </c>
      <c r="F5" s="1">
        <v>9</v>
      </c>
      <c r="G5">
        <v>15.888260000000001</v>
      </c>
      <c r="H5">
        <v>0.93500000000000005</v>
      </c>
      <c r="S5">
        <v>15.888260000000001</v>
      </c>
      <c r="T5">
        <v>0.93500000000000005</v>
      </c>
      <c r="W5">
        <f t="shared" si="0"/>
        <v>6.4600033333332973E-2</v>
      </c>
      <c r="X5">
        <f t="shared" si="1"/>
        <v>6.4100000000000157E-2</v>
      </c>
      <c r="Y5">
        <f t="shared" si="2"/>
        <v>4.1408621366666541E-3</v>
      </c>
      <c r="Z5">
        <f t="shared" si="3"/>
        <v>4.1731643066677312E-3</v>
      </c>
      <c r="AA5">
        <v>4</v>
      </c>
      <c r="AB5">
        <f t="shared" si="4"/>
        <v>0.49186159735768165</v>
      </c>
      <c r="AC5">
        <f t="shared" si="5"/>
        <v>0.24192783095525014</v>
      </c>
      <c r="AE5">
        <f t="shared" si="6"/>
        <v>4.10881000000002E-3</v>
      </c>
    </row>
    <row r="6" spans="1:31" x14ac:dyDescent="0.35">
      <c r="A6" s="1">
        <v>4</v>
      </c>
      <c r="B6">
        <v>16.284279999999999</v>
      </c>
      <c r="C6">
        <v>0.92700000000000005</v>
      </c>
      <c r="D6">
        <v>0.83350217636663027</v>
      </c>
      <c r="F6" s="1">
        <v>4</v>
      </c>
      <c r="G6">
        <v>16.284279999999999</v>
      </c>
      <c r="H6">
        <v>0.92700000000000005</v>
      </c>
      <c r="S6">
        <v>16.284279999999999</v>
      </c>
      <c r="T6">
        <v>0.92700000000000005</v>
      </c>
      <c r="W6">
        <f t="shared" si="0"/>
        <v>0.46062003333333124</v>
      </c>
      <c r="X6">
        <f t="shared" si="1"/>
        <v>5.610000000000015E-2</v>
      </c>
      <c r="Y6">
        <f t="shared" si="2"/>
        <v>2.584078386999995E-2</v>
      </c>
      <c r="Z6">
        <f t="shared" si="3"/>
        <v>0.21217081510799918</v>
      </c>
      <c r="AA6">
        <v>5</v>
      </c>
      <c r="AB6">
        <f t="shared" si="4"/>
        <v>0.44768315527091418</v>
      </c>
      <c r="AC6">
        <f t="shared" si="5"/>
        <v>0.20042020751332146</v>
      </c>
      <c r="AE6">
        <f t="shared" si="6"/>
        <v>3.1472100000000166E-3</v>
      </c>
    </row>
    <row r="7" spans="1:31" x14ac:dyDescent="0.35">
      <c r="A7" s="1">
        <v>8</v>
      </c>
      <c r="B7">
        <v>11.188420000000001</v>
      </c>
      <c r="C7">
        <v>0.60199999999999998</v>
      </c>
      <c r="D7">
        <v>0.8270488823529909</v>
      </c>
      <c r="F7" s="1">
        <v>8</v>
      </c>
      <c r="G7">
        <v>11.188420000000001</v>
      </c>
      <c r="H7">
        <v>0.60199999999999998</v>
      </c>
      <c r="S7">
        <v>11.188420000000001</v>
      </c>
      <c r="T7">
        <v>0.60199999999999998</v>
      </c>
      <c r="W7">
        <f t="shared" si="0"/>
        <v>-4.635239966666667</v>
      </c>
      <c r="X7">
        <f t="shared" si="1"/>
        <v>-0.26889999999999992</v>
      </c>
      <c r="Y7">
        <f t="shared" si="2"/>
        <v>1.2464160270366664</v>
      </c>
      <c r="Z7">
        <f t="shared" si="3"/>
        <v>21.485449548584004</v>
      </c>
      <c r="AA7">
        <v>6</v>
      </c>
      <c r="AB7">
        <f t="shared" si="4"/>
        <v>8.6504713184146653E-2</v>
      </c>
      <c r="AC7">
        <f t="shared" si="5"/>
        <v>7.4830654030714761E-3</v>
      </c>
      <c r="AE7">
        <f t="shared" si="6"/>
        <v>7.2307209999999955E-2</v>
      </c>
    </row>
    <row r="8" spans="1:31" x14ac:dyDescent="0.35">
      <c r="A8" s="1">
        <v>50</v>
      </c>
      <c r="B8">
        <v>14.94685</v>
      </c>
      <c r="C8">
        <v>0.873</v>
      </c>
      <c r="D8">
        <v>0.82678742819198381</v>
      </c>
      <c r="F8" s="1">
        <v>50</v>
      </c>
      <c r="G8">
        <v>14.94685</v>
      </c>
      <c r="H8">
        <v>0.873</v>
      </c>
      <c r="S8">
        <v>14.94685</v>
      </c>
      <c r="T8">
        <v>0.873</v>
      </c>
      <c r="W8">
        <f t="shared" si="0"/>
        <v>-0.87680996666666822</v>
      </c>
      <c r="X8">
        <f t="shared" si="1"/>
        <v>2.1000000000001018E-3</v>
      </c>
      <c r="Y8">
        <f t="shared" si="2"/>
        <v>-1.8413009300000925E-3</v>
      </c>
      <c r="Z8">
        <f t="shared" si="3"/>
        <v>0.76879571764600385</v>
      </c>
      <c r="AA8">
        <v>7</v>
      </c>
      <c r="AB8">
        <f t="shared" si="4"/>
        <v>0.3213262710973791</v>
      </c>
      <c r="AC8">
        <f t="shared" si="5"/>
        <v>0.10325057249734637</v>
      </c>
      <c r="AE8">
        <f t="shared" si="6"/>
        <v>4.4100000000004279E-6</v>
      </c>
    </row>
    <row r="9" spans="1:31" x14ac:dyDescent="0.35">
      <c r="A9" s="1">
        <v>26</v>
      </c>
      <c r="B9">
        <v>16.714200000000002</v>
      </c>
      <c r="C9">
        <v>0.90500000000000003</v>
      </c>
      <c r="D9">
        <v>0.77850993219686215</v>
      </c>
      <c r="F9" s="1">
        <v>26</v>
      </c>
      <c r="G9">
        <v>16.714200000000002</v>
      </c>
      <c r="H9">
        <v>0.90500000000000003</v>
      </c>
      <c r="S9">
        <v>16.714200000000002</v>
      </c>
      <c r="T9">
        <v>0.90500000000000003</v>
      </c>
      <c r="W9">
        <f t="shared" si="0"/>
        <v>0.89054003333333398</v>
      </c>
      <c r="X9">
        <f t="shared" si="1"/>
        <v>3.410000000000013E-2</v>
      </c>
      <c r="Y9">
        <f t="shared" si="2"/>
        <v>3.0367415136666805E-2</v>
      </c>
      <c r="Z9">
        <f t="shared" si="3"/>
        <v>0.79306155096933562</v>
      </c>
      <c r="AA9">
        <v>8</v>
      </c>
      <c r="AB9">
        <f t="shared" si="4"/>
        <v>0.31714782901061156</v>
      </c>
      <c r="AC9">
        <f t="shared" si="5"/>
        <v>0.10058274544614411</v>
      </c>
      <c r="AE9">
        <f t="shared" si="6"/>
        <v>1.1628100000000089E-3</v>
      </c>
    </row>
    <row r="10" spans="1:31" x14ac:dyDescent="0.35">
      <c r="A10" s="1">
        <v>21</v>
      </c>
      <c r="B10">
        <v>15.4694</v>
      </c>
      <c r="C10">
        <v>0.86699999999999999</v>
      </c>
      <c r="D10">
        <v>0.77817872957886236</v>
      </c>
      <c r="F10" s="1">
        <v>21</v>
      </c>
      <c r="G10">
        <v>15.4694</v>
      </c>
      <c r="H10">
        <v>0.86699999999999999</v>
      </c>
      <c r="S10">
        <v>15.4694</v>
      </c>
      <c r="T10">
        <v>0.86699999999999999</v>
      </c>
      <c r="W10">
        <f t="shared" si="0"/>
        <v>-0.35425996666666748</v>
      </c>
      <c r="X10">
        <f t="shared" si="1"/>
        <v>-3.8999999999999035E-3</v>
      </c>
      <c r="Y10">
        <f t="shared" si="2"/>
        <v>1.3816138699999691E-3</v>
      </c>
      <c r="Z10">
        <f t="shared" si="3"/>
        <v>0.12550012398266835</v>
      </c>
      <c r="AA10">
        <v>9</v>
      </c>
      <c r="AB10">
        <f t="shared" si="4"/>
        <v>0.24296938692384407</v>
      </c>
      <c r="AC10">
        <f t="shared" si="5"/>
        <v>5.9034122982148649E-2</v>
      </c>
      <c r="AE10">
        <f t="shared" si="6"/>
        <v>1.5209999999999248E-5</v>
      </c>
    </row>
    <row r="11" spans="1:31" x14ac:dyDescent="0.35">
      <c r="A11" s="1">
        <v>61</v>
      </c>
      <c r="B11">
        <v>15.923</v>
      </c>
      <c r="C11">
        <v>0.93</v>
      </c>
      <c r="D11">
        <v>0.76346829959270102</v>
      </c>
      <c r="F11" s="1">
        <v>61</v>
      </c>
      <c r="G11">
        <v>15.923</v>
      </c>
      <c r="H11">
        <v>0.93</v>
      </c>
      <c r="S11">
        <v>15.923</v>
      </c>
      <c r="T11">
        <v>0.93</v>
      </c>
      <c r="W11">
        <f t="shared" si="0"/>
        <v>9.93400333333323E-2</v>
      </c>
      <c r="X11">
        <f t="shared" si="1"/>
        <v>5.9100000000000152E-2</v>
      </c>
      <c r="Y11">
        <f t="shared" si="2"/>
        <v>5.870995969999954E-3</v>
      </c>
      <c r="Z11">
        <f t="shared" si="3"/>
        <v>9.8684422226675717E-3</v>
      </c>
      <c r="AA11">
        <v>10</v>
      </c>
      <c r="AB11">
        <f t="shared" si="4"/>
        <v>0.26979094483707666</v>
      </c>
      <c r="AC11">
        <f t="shared" si="5"/>
        <v>7.2787153916082536E-2</v>
      </c>
      <c r="AE11">
        <f t="shared" si="6"/>
        <v>3.4928100000000181E-3</v>
      </c>
    </row>
    <row r="12" spans="1:31" x14ac:dyDescent="0.35">
      <c r="A12" s="1">
        <v>12</v>
      </c>
      <c r="B12">
        <v>16.215599999999998</v>
      </c>
      <c r="C12">
        <v>0.90800000000000003</v>
      </c>
      <c r="D12">
        <v>0.72995277061036701</v>
      </c>
      <c r="F12" s="1">
        <v>12</v>
      </c>
      <c r="G12">
        <v>16.215599999999998</v>
      </c>
      <c r="H12">
        <v>0.90800000000000003</v>
      </c>
      <c r="S12">
        <v>16.215599999999998</v>
      </c>
      <c r="T12">
        <v>0.90800000000000003</v>
      </c>
      <c r="W12">
        <f t="shared" si="0"/>
        <v>0.39194003333333072</v>
      </c>
      <c r="X12">
        <f t="shared" si="1"/>
        <v>3.7100000000000133E-2</v>
      </c>
      <c r="Y12">
        <f t="shared" si="2"/>
        <v>1.4540975236666621E-2</v>
      </c>
      <c r="Z12">
        <f t="shared" si="3"/>
        <v>0.15361698972933238</v>
      </c>
      <c r="AA12">
        <v>11</v>
      </c>
      <c r="AB12">
        <f t="shared" si="4"/>
        <v>0.21161250275030907</v>
      </c>
      <c r="AC12">
        <f t="shared" si="5"/>
        <v>4.4779851320249565E-2</v>
      </c>
      <c r="AE12">
        <f t="shared" si="6"/>
        <v>1.3764100000000098E-3</v>
      </c>
    </row>
    <row r="13" spans="1:31" x14ac:dyDescent="0.35">
      <c r="A13" s="1">
        <v>63</v>
      </c>
      <c r="B13">
        <v>12.46087</v>
      </c>
      <c r="C13">
        <v>0.73699999999999999</v>
      </c>
      <c r="D13">
        <v>0.66423147838475838</v>
      </c>
      <c r="F13" s="1">
        <v>63</v>
      </c>
      <c r="G13">
        <v>12.46087</v>
      </c>
      <c r="H13">
        <v>0.73699999999999999</v>
      </c>
      <c r="S13">
        <v>12.46087</v>
      </c>
      <c r="T13">
        <v>0.73699999999999999</v>
      </c>
      <c r="W13">
        <f t="shared" si="0"/>
        <v>-3.3627899666666679</v>
      </c>
      <c r="X13">
        <f t="shared" si="1"/>
        <v>-0.13389999999999991</v>
      </c>
      <c r="Y13">
        <f t="shared" si="2"/>
        <v>0.4502775765366665</v>
      </c>
      <c r="Z13">
        <f t="shared" si="3"/>
        <v>11.30835635991401</v>
      </c>
      <c r="AA13">
        <v>12</v>
      </c>
      <c r="AB13">
        <f t="shared" si="4"/>
        <v>4.4340606635415725E-3</v>
      </c>
      <c r="AC13">
        <f t="shared" si="5"/>
        <v>1.9660893967966729E-5</v>
      </c>
      <c r="AE13">
        <f t="shared" si="6"/>
        <v>1.7929209999999977E-2</v>
      </c>
    </row>
    <row r="14" spans="1:31" x14ac:dyDescent="0.35">
      <c r="A14" s="1">
        <v>13</v>
      </c>
      <c r="B14">
        <v>16.793500000000002</v>
      </c>
      <c r="C14">
        <v>0.91100000000000003</v>
      </c>
      <c r="D14">
        <v>0.63983841056659119</v>
      </c>
      <c r="F14" s="1">
        <v>13</v>
      </c>
      <c r="G14">
        <v>16.793500000000002</v>
      </c>
      <c r="H14">
        <v>0.91100000000000003</v>
      </c>
      <c r="S14">
        <v>16.793500000000002</v>
      </c>
      <c r="T14">
        <v>0.91100000000000003</v>
      </c>
      <c r="W14">
        <f t="shared" si="0"/>
        <v>0.96984003333333391</v>
      </c>
      <c r="X14">
        <f t="shared" si="1"/>
        <v>4.0100000000000136E-2</v>
      </c>
      <c r="Y14">
        <f t="shared" si="2"/>
        <v>3.8890585336666818E-2</v>
      </c>
      <c r="Z14">
        <f t="shared" si="3"/>
        <v>0.94058969025600225</v>
      </c>
      <c r="AA14">
        <v>13</v>
      </c>
      <c r="AB14">
        <f t="shared" si="4"/>
        <v>0.14225561857677405</v>
      </c>
      <c r="AC14">
        <f t="shared" si="5"/>
        <v>2.023666101666062E-2</v>
      </c>
      <c r="AE14">
        <f t="shared" si="6"/>
        <v>1.6080100000000108E-3</v>
      </c>
    </row>
    <row r="15" spans="1:31" x14ac:dyDescent="0.35">
      <c r="A15" s="1">
        <v>32</v>
      </c>
      <c r="B15">
        <v>12.519769</v>
      </c>
      <c r="C15">
        <v>0.81</v>
      </c>
      <c r="D15">
        <v>0.61256301960428983</v>
      </c>
      <c r="F15" s="1">
        <v>32</v>
      </c>
      <c r="G15">
        <v>12.519769</v>
      </c>
      <c r="H15">
        <v>0.81</v>
      </c>
      <c r="S15">
        <v>12.519769</v>
      </c>
      <c r="T15">
        <v>0.81</v>
      </c>
      <c r="W15">
        <f t="shared" si="0"/>
        <v>-3.3038909666666676</v>
      </c>
      <c r="X15">
        <f t="shared" si="1"/>
        <v>-6.0899999999999843E-2</v>
      </c>
      <c r="Y15">
        <f t="shared" si="2"/>
        <v>0.20120695986999954</v>
      </c>
      <c r="Z15">
        <f t="shared" si="3"/>
        <v>10.915695519621607</v>
      </c>
      <c r="AA15">
        <v>14</v>
      </c>
      <c r="AB15">
        <f t="shared" si="4"/>
        <v>5.0771764900066074E-3</v>
      </c>
      <c r="AC15">
        <f t="shared" si="5"/>
        <v>2.5777721110675815E-5</v>
      </c>
      <c r="AE15">
        <f t="shared" si="6"/>
        <v>3.7088099999999808E-3</v>
      </c>
    </row>
    <row r="16" spans="1:31" x14ac:dyDescent="0.35">
      <c r="A16" s="1">
        <v>25</v>
      </c>
      <c r="B16">
        <v>14.93416</v>
      </c>
      <c r="C16">
        <v>0.92100000000000004</v>
      </c>
      <c r="D16">
        <v>0.60096277264012044</v>
      </c>
      <c r="F16" s="1">
        <v>25</v>
      </c>
      <c r="G16">
        <v>14.93416</v>
      </c>
      <c r="H16">
        <v>0.92100000000000004</v>
      </c>
      <c r="S16">
        <v>14.93416</v>
      </c>
      <c r="T16">
        <v>0.92100000000000004</v>
      </c>
      <c r="W16">
        <f t="shared" si="0"/>
        <v>-0.88949996666666742</v>
      </c>
      <c r="X16">
        <f t="shared" si="1"/>
        <v>5.0100000000000144E-2</v>
      </c>
      <c r="Y16">
        <f t="shared" si="2"/>
        <v>-4.4563948330000165E-2</v>
      </c>
      <c r="Z16">
        <f t="shared" si="3"/>
        <v>0.79121019070000242</v>
      </c>
      <c r="AA16">
        <v>15</v>
      </c>
      <c r="AB16">
        <f t="shared" si="4"/>
        <v>7.9898734403239025E-2</v>
      </c>
      <c r="AC16">
        <f t="shared" si="5"/>
        <v>6.3838077592393312E-3</v>
      </c>
      <c r="AE16">
        <f t="shared" si="6"/>
        <v>2.5100100000000143E-3</v>
      </c>
    </row>
    <row r="17" spans="1:31" x14ac:dyDescent="0.35">
      <c r="A17" s="1">
        <v>49</v>
      </c>
      <c r="B17">
        <v>16.742280000000001</v>
      </c>
      <c r="C17">
        <v>0.94199999999999995</v>
      </c>
      <c r="D17">
        <v>0.59999007938963411</v>
      </c>
      <c r="F17" s="1">
        <v>49</v>
      </c>
      <c r="G17">
        <v>16.742280000000001</v>
      </c>
      <c r="H17">
        <v>0.94199999999999995</v>
      </c>
      <c r="S17">
        <v>16.742280000000001</v>
      </c>
      <c r="T17">
        <v>0.94199999999999995</v>
      </c>
      <c r="W17">
        <f t="shared" si="0"/>
        <v>0.9186200333333332</v>
      </c>
      <c r="X17">
        <f t="shared" si="1"/>
        <v>7.1100000000000052E-2</v>
      </c>
      <c r="Y17">
        <f t="shared" si="2"/>
        <v>6.5313884370000033E-2</v>
      </c>
      <c r="Z17">
        <f t="shared" si="3"/>
        <v>0.84386276564133422</v>
      </c>
      <c r="AA17">
        <v>16</v>
      </c>
      <c r="AB17">
        <f t="shared" si="4"/>
        <v>6.4720292316471473E-2</v>
      </c>
      <c r="AC17">
        <f t="shared" si="5"/>
        <v>4.1887162375295163E-3</v>
      </c>
      <c r="AE17">
        <f t="shared" si="6"/>
        <v>5.055210000000007E-3</v>
      </c>
    </row>
    <row r="18" spans="1:31" x14ac:dyDescent="0.35">
      <c r="A18" s="1">
        <v>10</v>
      </c>
      <c r="B18">
        <v>16.912420000000001</v>
      </c>
      <c r="C18">
        <v>0.86899999999999999</v>
      </c>
      <c r="D18">
        <v>0.5832176674927837</v>
      </c>
      <c r="F18" s="1">
        <v>10</v>
      </c>
      <c r="G18">
        <v>16.912420000000001</v>
      </c>
      <c r="H18">
        <v>0.86899999999999999</v>
      </c>
      <c r="S18">
        <v>16.912420000000001</v>
      </c>
      <c r="T18">
        <v>0.86899999999999999</v>
      </c>
      <c r="W18">
        <f t="shared" si="0"/>
        <v>1.0887600333333332</v>
      </c>
      <c r="X18">
        <f t="shared" si="1"/>
        <v>-1.8999999999999018E-3</v>
      </c>
      <c r="Y18">
        <f t="shared" si="2"/>
        <v>-2.0686440633332259E-3</v>
      </c>
      <c r="Z18">
        <f t="shared" si="3"/>
        <v>1.1853984101840007</v>
      </c>
      <c r="AA18">
        <v>17</v>
      </c>
      <c r="AB18">
        <f t="shared" si="4"/>
        <v>-4.4458149770295941E-2</v>
      </c>
      <c r="AC18">
        <f t="shared" si="5"/>
        <v>1.9765270809980651E-3</v>
      </c>
      <c r="AE18">
        <f t="shared" si="6"/>
        <v>3.6099999999996266E-6</v>
      </c>
    </row>
    <row r="19" spans="1:31" x14ac:dyDescent="0.35">
      <c r="A19" s="1">
        <v>24</v>
      </c>
      <c r="B19">
        <v>19.18488</v>
      </c>
      <c r="C19">
        <v>0.94699999999999995</v>
      </c>
      <c r="D19">
        <v>0.56536785260188172</v>
      </c>
      <c r="F19" s="1">
        <v>24</v>
      </c>
      <c r="G19">
        <v>19.18488</v>
      </c>
      <c r="H19">
        <v>0.94699999999999995</v>
      </c>
      <c r="S19">
        <v>19.18488</v>
      </c>
      <c r="T19">
        <v>0.94699999999999995</v>
      </c>
      <c r="W19">
        <f t="shared" si="0"/>
        <v>3.361220033333332</v>
      </c>
      <c r="X19">
        <f t="shared" si="1"/>
        <v>7.6100000000000056E-2</v>
      </c>
      <c r="Y19">
        <f t="shared" si="2"/>
        <v>0.25578884453666673</v>
      </c>
      <c r="Z19">
        <f t="shared" si="3"/>
        <v>11.297800112481326</v>
      </c>
      <c r="AA19">
        <v>18</v>
      </c>
      <c r="AB19">
        <f t="shared" si="4"/>
        <v>-2.6365918570635527E-3</v>
      </c>
      <c r="AC19">
        <f t="shared" si="5"/>
        <v>6.9516166207338331E-6</v>
      </c>
      <c r="AE19">
        <f t="shared" si="6"/>
        <v>5.7912100000000084E-3</v>
      </c>
    </row>
    <row r="20" spans="1:31" x14ac:dyDescent="0.35">
      <c r="A20" s="1">
        <v>22</v>
      </c>
      <c r="B20">
        <v>18.85059</v>
      </c>
      <c r="C20">
        <v>0.96399999999999997</v>
      </c>
      <c r="D20">
        <v>0.55172946394471378</v>
      </c>
      <c r="F20" s="1">
        <v>22</v>
      </c>
      <c r="G20">
        <v>18.85059</v>
      </c>
      <c r="H20">
        <v>0.96399999999999997</v>
      </c>
      <c r="S20">
        <v>18.85059</v>
      </c>
      <c r="T20">
        <v>0.96399999999999997</v>
      </c>
      <c r="W20">
        <f t="shared" si="0"/>
        <v>3.0269300333333327</v>
      </c>
      <c r="X20">
        <f t="shared" si="1"/>
        <v>9.3100000000000072E-2</v>
      </c>
      <c r="Y20">
        <f t="shared" si="2"/>
        <v>0.2818071861033335</v>
      </c>
      <c r="Z20">
        <f t="shared" si="3"/>
        <v>9.1623054266953297</v>
      </c>
      <c r="AA20">
        <v>19</v>
      </c>
      <c r="AB20">
        <f t="shared" si="4"/>
        <v>-2.1815033943830997E-2</v>
      </c>
      <c r="AC20">
        <f t="shared" si="5"/>
        <v>4.7589570597049858E-4</v>
      </c>
      <c r="AE20">
        <f t="shared" si="6"/>
        <v>8.6676100000000131E-3</v>
      </c>
    </row>
    <row r="21" spans="1:31" x14ac:dyDescent="0.35">
      <c r="A21" s="1">
        <v>36</v>
      </c>
      <c r="B21">
        <v>14.59442</v>
      </c>
      <c r="C21">
        <v>0.70399999999999996</v>
      </c>
      <c r="D21">
        <v>0.52889579635842743</v>
      </c>
      <c r="F21" s="1">
        <v>36</v>
      </c>
      <c r="G21">
        <v>14.59442</v>
      </c>
      <c r="H21">
        <v>0.70399999999999996</v>
      </c>
      <c r="S21">
        <v>14.59442</v>
      </c>
      <c r="T21">
        <v>0.70399999999999996</v>
      </c>
      <c r="W21">
        <f t="shared" si="0"/>
        <v>-1.2292399666666682</v>
      </c>
      <c r="X21">
        <f t="shared" si="1"/>
        <v>-0.16689999999999994</v>
      </c>
      <c r="Y21">
        <f t="shared" si="2"/>
        <v>0.20516015043666685</v>
      </c>
      <c r="Z21">
        <f t="shared" si="3"/>
        <v>1.5110308956506717</v>
      </c>
      <c r="AA21">
        <v>20</v>
      </c>
      <c r="AB21">
        <f t="shared" si="4"/>
        <v>-0.31799347603059869</v>
      </c>
      <c r="AC21">
        <f t="shared" si="5"/>
        <v>0.10111985079802294</v>
      </c>
      <c r="AE21">
        <f t="shared" si="6"/>
        <v>2.7855609999999979E-2</v>
      </c>
    </row>
    <row r="22" spans="1:31" x14ac:dyDescent="0.35">
      <c r="A22" s="1">
        <v>37</v>
      </c>
      <c r="B22">
        <v>18.584849999999999</v>
      </c>
      <c r="C22">
        <v>0.95299999999999996</v>
      </c>
      <c r="D22">
        <v>0.52153338591770027</v>
      </c>
      <c r="F22" s="1">
        <v>37</v>
      </c>
      <c r="G22">
        <v>18.584849999999999</v>
      </c>
      <c r="H22">
        <v>0.95299999999999996</v>
      </c>
      <c r="S22">
        <v>18.584849999999999</v>
      </c>
      <c r="T22">
        <v>0.95299999999999996</v>
      </c>
      <c r="W22">
        <f t="shared" si="0"/>
        <v>2.7611900333333317</v>
      </c>
      <c r="X22">
        <f t="shared" si="1"/>
        <v>8.2100000000000062E-2</v>
      </c>
      <c r="Y22">
        <f t="shared" si="2"/>
        <v>0.2266937017366667</v>
      </c>
      <c r="Z22">
        <f t="shared" si="3"/>
        <v>7.6241704001793256</v>
      </c>
      <c r="AA22">
        <v>21</v>
      </c>
      <c r="AB22">
        <f t="shared" si="4"/>
        <v>-0.10517191811736593</v>
      </c>
      <c r="AC22">
        <f t="shared" si="5"/>
        <v>1.1061132360485924E-2</v>
      </c>
      <c r="AE22">
        <f t="shared" si="6"/>
        <v>6.74041000000001E-3</v>
      </c>
    </row>
    <row r="23" spans="1:31" x14ac:dyDescent="0.35">
      <c r="A23" s="1">
        <v>15</v>
      </c>
      <c r="B23">
        <v>15.96786</v>
      </c>
      <c r="C23">
        <v>0.90200000000000002</v>
      </c>
      <c r="D23">
        <v>0.51343697148631018</v>
      </c>
      <c r="F23" s="1">
        <v>15</v>
      </c>
      <c r="G23">
        <v>15.96786</v>
      </c>
      <c r="H23">
        <v>0.90200000000000002</v>
      </c>
      <c r="S23">
        <v>15.96786</v>
      </c>
      <c r="T23">
        <v>0.90200000000000002</v>
      </c>
      <c r="W23">
        <f t="shared" si="0"/>
        <v>0.1442000333333322</v>
      </c>
      <c r="X23">
        <f t="shared" si="1"/>
        <v>3.1100000000000128E-2</v>
      </c>
      <c r="Y23">
        <f t="shared" si="2"/>
        <v>4.48462103666665E-3</v>
      </c>
      <c r="Z23">
        <f t="shared" si="3"/>
        <v>2.0793649613334117E-2</v>
      </c>
      <c r="AA23">
        <v>22</v>
      </c>
      <c r="AB23">
        <f t="shared" si="4"/>
        <v>-0.19235036020413354</v>
      </c>
      <c r="AC23">
        <f t="shared" si="5"/>
        <v>3.6998661070659918E-2</v>
      </c>
      <c r="AE23">
        <f t="shared" si="6"/>
        <v>9.6721000000000795E-4</v>
      </c>
    </row>
    <row r="24" spans="1:31" x14ac:dyDescent="0.35">
      <c r="A24" s="1">
        <v>28</v>
      </c>
      <c r="B24">
        <v>13.04355</v>
      </c>
      <c r="C24">
        <v>0.751</v>
      </c>
      <c r="D24">
        <v>0.50038856506020535</v>
      </c>
      <c r="F24" s="1">
        <v>28</v>
      </c>
      <c r="G24">
        <v>13.04355</v>
      </c>
      <c r="H24">
        <v>0.751</v>
      </c>
      <c r="S24">
        <v>13.04355</v>
      </c>
      <c r="T24">
        <v>0.751</v>
      </c>
      <c r="W24">
        <f t="shared" si="0"/>
        <v>-2.780109966666668</v>
      </c>
      <c r="X24">
        <f t="shared" si="1"/>
        <v>-0.1198999999999999</v>
      </c>
      <c r="Y24">
        <f t="shared" si="2"/>
        <v>0.3333351850033332</v>
      </c>
      <c r="Z24">
        <f t="shared" si="3"/>
        <v>7.7290114267593415</v>
      </c>
      <c r="AA24">
        <v>23</v>
      </c>
      <c r="AB24">
        <f t="shared" si="4"/>
        <v>-0.37952880229090102</v>
      </c>
      <c r="AC24">
        <f t="shared" si="5"/>
        <v>0.14404211176836584</v>
      </c>
      <c r="AE24">
        <f t="shared" si="6"/>
        <v>1.4376009999999976E-2</v>
      </c>
    </row>
    <row r="25" spans="1:31" x14ac:dyDescent="0.35">
      <c r="A25" s="1">
        <v>51</v>
      </c>
      <c r="B25">
        <v>17.477170000000001</v>
      </c>
      <c r="C25">
        <v>0.92600000000000005</v>
      </c>
      <c r="D25">
        <v>0.49725418312111291</v>
      </c>
      <c r="F25" s="1">
        <v>51</v>
      </c>
      <c r="G25">
        <v>17.477170000000001</v>
      </c>
      <c r="H25">
        <v>0.92600000000000005</v>
      </c>
      <c r="S25">
        <v>17.477170000000001</v>
      </c>
      <c r="T25">
        <v>0.92600000000000005</v>
      </c>
      <c r="W25">
        <f t="shared" si="0"/>
        <v>1.6535100333333332</v>
      </c>
      <c r="X25">
        <f t="shared" si="1"/>
        <v>5.5100000000000149E-2</v>
      </c>
      <c r="Y25">
        <f t="shared" si="2"/>
        <v>9.1108402836666907E-2</v>
      </c>
      <c r="Z25">
        <f t="shared" si="3"/>
        <v>2.7340954303340008</v>
      </c>
      <c r="AA25">
        <v>24</v>
      </c>
      <c r="AB25">
        <f t="shared" si="4"/>
        <v>-0.24070724437766844</v>
      </c>
      <c r="AC25">
        <f t="shared" si="5"/>
        <v>5.7939977495890596E-2</v>
      </c>
      <c r="AE25">
        <f t="shared" si="6"/>
        <v>3.0360100000000165E-3</v>
      </c>
    </row>
    <row r="26" spans="1:31" x14ac:dyDescent="0.35">
      <c r="A26" s="1">
        <v>58</v>
      </c>
      <c r="B26">
        <v>13.328010000000001</v>
      </c>
      <c r="C26">
        <v>0.77200000000000002</v>
      </c>
      <c r="D26">
        <v>0.45830500059136792</v>
      </c>
      <c r="F26" s="1">
        <v>58</v>
      </c>
      <c r="G26">
        <v>13.328010000000001</v>
      </c>
      <c r="H26">
        <v>0.77200000000000002</v>
      </c>
      <c r="S26">
        <v>13.328010000000001</v>
      </c>
      <c r="T26">
        <v>0.77200000000000002</v>
      </c>
      <c r="W26">
        <f t="shared" si="0"/>
        <v>-2.4956499666666669</v>
      </c>
      <c r="X26">
        <f t="shared" si="1"/>
        <v>-9.8899999999999877E-2</v>
      </c>
      <c r="Y26">
        <f t="shared" si="2"/>
        <v>0.24681978170333305</v>
      </c>
      <c r="Z26">
        <f t="shared" si="3"/>
        <v>6.2282687561233354</v>
      </c>
      <c r="AA26">
        <v>25</v>
      </c>
      <c r="AB26">
        <f t="shared" si="4"/>
        <v>-0.43088568646443615</v>
      </c>
      <c r="AC26">
        <f t="shared" si="5"/>
        <v>0.18566247479992837</v>
      </c>
      <c r="AE26">
        <f t="shared" si="6"/>
        <v>9.781209999999976E-3</v>
      </c>
    </row>
    <row r="27" spans="1:31" x14ac:dyDescent="0.35">
      <c r="A27" s="1">
        <v>33</v>
      </c>
      <c r="B27">
        <v>14.468109999999999</v>
      </c>
      <c r="C27">
        <v>0.78300000000000003</v>
      </c>
      <c r="D27">
        <v>0.45651586878702755</v>
      </c>
      <c r="F27" s="1">
        <v>33</v>
      </c>
      <c r="G27">
        <v>14.468109999999999</v>
      </c>
      <c r="H27">
        <v>0.78300000000000003</v>
      </c>
      <c r="S27">
        <v>14.468109999999999</v>
      </c>
      <c r="T27">
        <v>0.78300000000000003</v>
      </c>
      <c r="W27">
        <f t="shared" si="0"/>
        <v>-1.3555499666666684</v>
      </c>
      <c r="X27">
        <f t="shared" si="1"/>
        <v>-8.7899999999999867E-2</v>
      </c>
      <c r="Y27">
        <f t="shared" si="2"/>
        <v>0.11915284206999997</v>
      </c>
      <c r="Z27">
        <f t="shared" si="3"/>
        <v>1.8375157121300059</v>
      </c>
      <c r="AA27">
        <v>26</v>
      </c>
      <c r="AB27">
        <f t="shared" si="4"/>
        <v>-0.45606412855120337</v>
      </c>
      <c r="AC27">
        <f t="shared" si="5"/>
        <v>0.20799448935116854</v>
      </c>
      <c r="AE27">
        <f t="shared" si="6"/>
        <v>7.726409999999977E-3</v>
      </c>
    </row>
    <row r="28" spans="1:31" x14ac:dyDescent="0.35">
      <c r="A28" s="1">
        <v>46</v>
      </c>
      <c r="B28">
        <v>14.05288</v>
      </c>
      <c r="C28">
        <v>0.84</v>
      </c>
      <c r="D28">
        <v>0.44811977728979913</v>
      </c>
      <c r="F28" s="1">
        <v>46</v>
      </c>
      <c r="G28">
        <v>14.05288</v>
      </c>
      <c r="H28">
        <v>0.84</v>
      </c>
      <c r="S28">
        <v>14.05288</v>
      </c>
      <c r="T28">
        <v>0.84</v>
      </c>
      <c r="W28">
        <f t="shared" si="0"/>
        <v>-1.7707799666666677</v>
      </c>
      <c r="X28">
        <f t="shared" si="1"/>
        <v>-3.0899999999999928E-2</v>
      </c>
      <c r="Y28">
        <f t="shared" si="2"/>
        <v>5.4717100969999904E-2</v>
      </c>
      <c r="Z28">
        <f t="shared" si="3"/>
        <v>3.1356616903480048</v>
      </c>
      <c r="AA28">
        <v>27</v>
      </c>
      <c r="AB28">
        <f t="shared" si="4"/>
        <v>-0.43524257063797112</v>
      </c>
      <c r="AC28">
        <f t="shared" si="5"/>
        <v>0.18943609529554928</v>
      </c>
      <c r="AE28">
        <f t="shared" si="6"/>
        <v>9.548099999999955E-4</v>
      </c>
    </row>
    <row r="29" spans="1:31" x14ac:dyDescent="0.35">
      <c r="A29" s="1">
        <v>19</v>
      </c>
      <c r="B29">
        <v>17.30922</v>
      </c>
      <c r="C29">
        <v>0.95499999999999996</v>
      </c>
      <c r="D29">
        <v>0.43480500403560052</v>
      </c>
      <c r="F29" s="1">
        <v>19</v>
      </c>
      <c r="G29">
        <v>17.30922</v>
      </c>
      <c r="H29">
        <v>0.95499999999999996</v>
      </c>
      <c r="S29">
        <v>17.30922</v>
      </c>
      <c r="T29">
        <v>0.95499999999999996</v>
      </c>
      <c r="W29">
        <f t="shared" si="0"/>
        <v>1.4855600333333321</v>
      </c>
      <c r="X29">
        <f t="shared" si="1"/>
        <v>8.4100000000000064E-2</v>
      </c>
      <c r="Y29">
        <f t="shared" si="2"/>
        <v>0.12493559880333333</v>
      </c>
      <c r="Z29">
        <f t="shared" si="3"/>
        <v>2.2068886126373308</v>
      </c>
      <c r="AA29">
        <v>28</v>
      </c>
      <c r="AB29">
        <f t="shared" si="4"/>
        <v>-0.35642101272473858</v>
      </c>
      <c r="AC29">
        <f t="shared" si="5"/>
        <v>0.12703593831172827</v>
      </c>
      <c r="AE29">
        <f t="shared" si="6"/>
        <v>7.072810000000011E-3</v>
      </c>
    </row>
    <row r="30" spans="1:31" x14ac:dyDescent="0.35">
      <c r="A30" s="1">
        <v>59</v>
      </c>
      <c r="B30">
        <v>14.907819999999999</v>
      </c>
      <c r="C30">
        <v>0.92100000000000004</v>
      </c>
      <c r="D30">
        <v>0.42959890389604638</v>
      </c>
      <c r="F30" s="1">
        <v>59</v>
      </c>
      <c r="G30">
        <v>14.907819999999999</v>
      </c>
      <c r="H30">
        <v>0.92100000000000004</v>
      </c>
      <c r="S30">
        <v>14.907819999999999</v>
      </c>
      <c r="T30">
        <v>0.92100000000000004</v>
      </c>
      <c r="W30">
        <f t="shared" si="0"/>
        <v>-0.91583996666666856</v>
      </c>
      <c r="X30">
        <f t="shared" si="1"/>
        <v>5.0100000000000144E-2</v>
      </c>
      <c r="Y30">
        <f t="shared" si="2"/>
        <v>-4.5883582330000228E-2</v>
      </c>
      <c r="Z30">
        <f t="shared" si="3"/>
        <v>0.83876284454400463</v>
      </c>
      <c r="AA30">
        <v>29</v>
      </c>
      <c r="AB30">
        <f t="shared" si="4"/>
        <v>-0.42659945481150596</v>
      </c>
      <c r="AC30">
        <f t="shared" si="5"/>
        <v>0.18198709484547412</v>
      </c>
      <c r="AE30">
        <f t="shared" si="6"/>
        <v>2.5100100000000143E-3</v>
      </c>
    </row>
    <row r="31" spans="1:31" x14ac:dyDescent="0.35">
      <c r="A31" s="1">
        <v>14</v>
      </c>
      <c r="B31">
        <v>18.70401</v>
      </c>
      <c r="C31">
        <v>0.95899999999999996</v>
      </c>
      <c r="D31">
        <v>0.41813493938367885</v>
      </c>
      <c r="F31" s="1">
        <v>14</v>
      </c>
      <c r="G31">
        <v>18.70401</v>
      </c>
      <c r="H31">
        <v>0.95899999999999996</v>
      </c>
      <c r="S31">
        <v>18.70401</v>
      </c>
      <c r="T31">
        <v>0.95899999999999996</v>
      </c>
      <c r="W31">
        <f t="shared" si="0"/>
        <v>2.8803500333333325</v>
      </c>
      <c r="X31">
        <f t="shared" si="1"/>
        <v>8.8100000000000067E-2</v>
      </c>
      <c r="Y31">
        <f t="shared" si="2"/>
        <v>0.25375883793666681</v>
      </c>
      <c r="Z31">
        <f t="shared" si="3"/>
        <v>8.2964163145233289</v>
      </c>
      <c r="AA31">
        <v>30</v>
      </c>
      <c r="AB31">
        <f t="shared" si="4"/>
        <v>-0.42477789689827372</v>
      </c>
      <c r="AC31">
        <f t="shared" si="5"/>
        <v>0.18043626169332047</v>
      </c>
      <c r="AE31">
        <f t="shared" si="6"/>
        <v>7.7616100000000117E-3</v>
      </c>
    </row>
    <row r="32" spans="1:31" x14ac:dyDescent="0.35">
      <c r="A32" s="1">
        <v>40</v>
      </c>
      <c r="B32">
        <v>18.792850000000001</v>
      </c>
      <c r="C32">
        <v>0.96699999999999997</v>
      </c>
      <c r="D32">
        <v>0.36181331246169102</v>
      </c>
      <c r="S32" s="1">
        <f>AVERAGE(S2:S31)</f>
        <v>15.823659966666668</v>
      </c>
      <c r="T32" s="1">
        <f>AVERAGE(T2:T31)</f>
        <v>0.8708999999999999</v>
      </c>
      <c r="Y32" s="1">
        <f>SUM(Y2:Y31)</f>
        <v>4.4363288708999988</v>
      </c>
      <c r="Z32" s="1">
        <f>SUM(Z2:Z31)</f>
        <v>122.62354637218095</v>
      </c>
      <c r="AB32" s="1"/>
      <c r="AC32" s="1">
        <f>SUM(AC2:AC31)</f>
        <v>3.0665518688847793</v>
      </c>
      <c r="AE32" s="1">
        <f>SUM(AE2:AE31)</f>
        <v>0.23371669999999994</v>
      </c>
    </row>
    <row r="33" spans="1:28" x14ac:dyDescent="0.35">
      <c r="A33" s="1">
        <v>11</v>
      </c>
      <c r="B33">
        <v>16.34815</v>
      </c>
      <c r="C33">
        <v>0.88600000000000001</v>
      </c>
      <c r="D33">
        <v>0.35869339615407603</v>
      </c>
      <c r="S33">
        <f>S32^2</f>
        <v>250.38821474068936</v>
      </c>
    </row>
    <row r="34" spans="1:28" x14ac:dyDescent="0.35">
      <c r="A34" s="1">
        <v>3</v>
      </c>
      <c r="B34">
        <v>20.654779999999999</v>
      </c>
      <c r="C34">
        <v>0.95199999999999996</v>
      </c>
      <c r="D34">
        <v>0.34142404675798932</v>
      </c>
      <c r="X34" s="2" t="s">
        <v>11</v>
      </c>
      <c r="Y34" s="3">
        <f>Y32/Z32</f>
        <v>3.6178442086767508E-2</v>
      </c>
      <c r="AA34" s="3" t="s">
        <v>10</v>
      </c>
      <c r="AB34" s="3">
        <f>AC32/28</f>
        <v>0.10951970960302783</v>
      </c>
    </row>
    <row r="35" spans="1:28" x14ac:dyDescent="0.35">
      <c r="A35" s="1">
        <v>35</v>
      </c>
      <c r="B35">
        <v>15.492470000000001</v>
      </c>
      <c r="C35">
        <v>0.85299999999999998</v>
      </c>
      <c r="D35">
        <v>0.31846067490070151</v>
      </c>
      <c r="X35" s="2" t="s">
        <v>7</v>
      </c>
      <c r="Y35" s="3">
        <f>T32-Y34*S32</f>
        <v>0.29842463429524835</v>
      </c>
    </row>
    <row r="36" spans="1:28" x14ac:dyDescent="0.35">
      <c r="A36" s="1">
        <v>39</v>
      </c>
      <c r="B36">
        <v>14.78144</v>
      </c>
      <c r="C36">
        <v>0.81100000000000005</v>
      </c>
      <c r="D36">
        <v>0.31500178030225667</v>
      </c>
    </row>
    <row r="37" spans="1:28" x14ac:dyDescent="0.35">
      <c r="A37" s="1">
        <v>56</v>
      </c>
      <c r="B37">
        <v>15.358834999999999</v>
      </c>
      <c r="C37">
        <v>0.79200000000000004</v>
      </c>
      <c r="D37">
        <v>0.31374197432824336</v>
      </c>
      <c r="X37">
        <v>1</v>
      </c>
      <c r="Y37">
        <f>$Y$35+$Y$34*X37</f>
        <v>0.33460307638201586</v>
      </c>
      <c r="AA37">
        <f>T2-Y37</f>
        <v>0.61039692361798403</v>
      </c>
    </row>
    <row r="38" spans="1:28" x14ac:dyDescent="0.35">
      <c r="A38" s="1">
        <v>57</v>
      </c>
      <c r="B38">
        <v>19.8308</v>
      </c>
      <c r="C38">
        <v>0.85299999999999998</v>
      </c>
      <c r="D38">
        <v>0.29151883151612035</v>
      </c>
      <c r="X38">
        <v>2</v>
      </c>
      <c r="Y38">
        <f t="shared" ref="Y38:Y40" si="7">$Y$35+$Y$34*X38</f>
        <v>0.37078151846878338</v>
      </c>
    </row>
    <row r="39" spans="1:28" x14ac:dyDescent="0.35">
      <c r="A39" s="1">
        <v>43</v>
      </c>
      <c r="B39">
        <v>16.678280000000001</v>
      </c>
      <c r="C39">
        <v>0.90200000000000002</v>
      </c>
      <c r="D39">
        <v>0.25340831641911155</v>
      </c>
      <c r="X39">
        <v>3</v>
      </c>
      <c r="Y39">
        <f t="shared" si="7"/>
        <v>0.40695996055555084</v>
      </c>
    </row>
    <row r="40" spans="1:28" x14ac:dyDescent="0.35">
      <c r="A40" s="1">
        <v>45</v>
      </c>
      <c r="B40">
        <v>13.141159999999999</v>
      </c>
      <c r="C40">
        <v>0.88300000000000001</v>
      </c>
      <c r="D40">
        <v>0.25107566410939042</v>
      </c>
      <c r="X40">
        <v>30</v>
      </c>
      <c r="Y40">
        <f t="shared" si="7"/>
        <v>1.3837778968982737</v>
      </c>
      <c r="AA40">
        <f>T31-Y40</f>
        <v>-0.42477789689827372</v>
      </c>
    </row>
    <row r="41" spans="1:28" x14ac:dyDescent="0.35">
      <c r="A41" s="1">
        <v>1</v>
      </c>
      <c r="B41">
        <v>14.6701</v>
      </c>
      <c r="C41">
        <v>0.80600000000000005</v>
      </c>
      <c r="D41">
        <v>0.2432088691882649</v>
      </c>
    </row>
    <row r="42" spans="1:28" x14ac:dyDescent="0.35">
      <c r="A42" s="1">
        <v>62</v>
      </c>
      <c r="B42">
        <v>17.48396</v>
      </c>
      <c r="C42">
        <v>0.85199999999999998</v>
      </c>
      <c r="D42">
        <v>0.24143040748164413</v>
      </c>
    </row>
    <row r="43" spans="1:28" x14ac:dyDescent="0.35">
      <c r="A43" s="1">
        <v>41</v>
      </c>
      <c r="B43">
        <v>14.909393</v>
      </c>
      <c r="C43">
        <v>0.79</v>
      </c>
      <c r="D43">
        <v>0.22611015350261121</v>
      </c>
    </row>
    <row r="44" spans="1:28" x14ac:dyDescent="0.35">
      <c r="A44" s="1">
        <v>44</v>
      </c>
      <c r="B44">
        <v>17.486820000000002</v>
      </c>
      <c r="C44">
        <v>0.88300000000000001</v>
      </c>
      <c r="D44">
        <v>0.22524645687459965</v>
      </c>
    </row>
    <row r="45" spans="1:28" x14ac:dyDescent="0.35">
      <c r="A45" s="1">
        <v>27</v>
      </c>
      <c r="B45">
        <v>15.511979999999999</v>
      </c>
      <c r="C45">
        <v>0.92100000000000004</v>
      </c>
      <c r="D45">
        <v>0.19840173213663814</v>
      </c>
    </row>
    <row r="46" spans="1:28" x14ac:dyDescent="0.35">
      <c r="A46" s="1">
        <v>17</v>
      </c>
      <c r="B46">
        <v>16.095120000000001</v>
      </c>
      <c r="C46">
        <v>0.91600000000000004</v>
      </c>
      <c r="D46">
        <v>0.19558771761425742</v>
      </c>
    </row>
    <row r="47" spans="1:28" x14ac:dyDescent="0.35">
      <c r="A47" s="1">
        <v>42</v>
      </c>
      <c r="B47">
        <v>12.819046999999999</v>
      </c>
      <c r="C47">
        <v>0.71399999999999997</v>
      </c>
      <c r="D47">
        <v>0.19154855573385021</v>
      </c>
    </row>
    <row r="48" spans="1:28" x14ac:dyDescent="0.35">
      <c r="A48" s="1">
        <v>55</v>
      </c>
      <c r="B48">
        <v>16.667529999999999</v>
      </c>
      <c r="C48">
        <v>0.96599999999999997</v>
      </c>
      <c r="D48">
        <v>0.18634009910026994</v>
      </c>
    </row>
    <row r="49" spans="1:4" x14ac:dyDescent="0.35">
      <c r="A49" s="1">
        <v>38</v>
      </c>
      <c r="B49">
        <v>19.300049999999999</v>
      </c>
      <c r="C49">
        <v>0.93300000000000005</v>
      </c>
      <c r="D49">
        <v>0.15437348234791326</v>
      </c>
    </row>
    <row r="50" spans="1:4" x14ac:dyDescent="0.35">
      <c r="A50" s="1">
        <v>18</v>
      </c>
      <c r="B50">
        <v>16.72683</v>
      </c>
      <c r="C50">
        <v>0.83799999999999997</v>
      </c>
      <c r="D50">
        <v>0.13971287863918525</v>
      </c>
    </row>
    <row r="51" spans="1:4" x14ac:dyDescent="0.35">
      <c r="A51" s="1">
        <v>54</v>
      </c>
      <c r="B51">
        <v>18.99147</v>
      </c>
      <c r="C51">
        <v>0.95899999999999996</v>
      </c>
      <c r="D51">
        <v>0.12745604293371715</v>
      </c>
    </row>
    <row r="52" spans="1:4" x14ac:dyDescent="0.35">
      <c r="A52" s="1">
        <v>47</v>
      </c>
      <c r="B52">
        <v>16.94943</v>
      </c>
      <c r="C52">
        <v>0.89300000000000002</v>
      </c>
      <c r="D52">
        <v>0.11673575089117405</v>
      </c>
    </row>
    <row r="53" spans="1:4" x14ac:dyDescent="0.35">
      <c r="A53" s="1">
        <v>60</v>
      </c>
      <c r="B53">
        <v>17.811070000000001</v>
      </c>
      <c r="C53">
        <v>0.94599999999999995</v>
      </c>
      <c r="D53">
        <v>8.2185271498414147E-2</v>
      </c>
    </row>
    <row r="54" spans="1:4" x14ac:dyDescent="0.35">
      <c r="A54" s="1">
        <v>2</v>
      </c>
      <c r="B54">
        <v>18.831209999999999</v>
      </c>
      <c r="C54">
        <v>0.85799999999999998</v>
      </c>
      <c r="D54">
        <v>7.8453195564176514E-2</v>
      </c>
    </row>
    <row r="55" spans="1:4" x14ac:dyDescent="0.35">
      <c r="A55" s="1">
        <v>48</v>
      </c>
      <c r="B55">
        <v>15.042160000000001</v>
      </c>
      <c r="C55">
        <v>0.82599999999999996</v>
      </c>
      <c r="D55">
        <v>7.3109618863089532E-2</v>
      </c>
    </row>
    <row r="56" spans="1:4" x14ac:dyDescent="0.35">
      <c r="A56" s="1">
        <v>29</v>
      </c>
      <c r="B56">
        <v>14.018860999999999</v>
      </c>
      <c r="C56">
        <v>0.83099999999999996</v>
      </c>
      <c r="D56">
        <v>6.6618840940421586E-2</v>
      </c>
    </row>
    <row r="57" spans="1:4" x14ac:dyDescent="0.35">
      <c r="A57" s="1">
        <v>34</v>
      </c>
      <c r="B57">
        <v>13.637653999999999</v>
      </c>
      <c r="C57">
        <v>0.74199999999999999</v>
      </c>
      <c r="D57">
        <v>6.0186479201088994E-2</v>
      </c>
    </row>
    <row r="58" spans="1:4" x14ac:dyDescent="0.35">
      <c r="A58" s="1">
        <v>16</v>
      </c>
      <c r="B58">
        <v>19.49409</v>
      </c>
      <c r="C58">
        <v>0.94599999999999995</v>
      </c>
      <c r="D58">
        <v>5.7285321794708022E-2</v>
      </c>
    </row>
    <row r="59" spans="1:4" x14ac:dyDescent="0.35">
      <c r="A59" s="1">
        <v>20</v>
      </c>
      <c r="B59">
        <v>20.845500000000001</v>
      </c>
      <c r="C59">
        <v>0.89700000000000002</v>
      </c>
      <c r="D59">
        <v>5.0541763168064024E-2</v>
      </c>
    </row>
    <row r="60" spans="1:4" x14ac:dyDescent="0.35">
      <c r="A60" s="1">
        <v>53</v>
      </c>
      <c r="B60">
        <v>17.830310000000001</v>
      </c>
      <c r="C60">
        <v>0.91100000000000003</v>
      </c>
      <c r="D60">
        <v>3.8063773043311655E-2</v>
      </c>
    </row>
    <row r="61" spans="1:4" x14ac:dyDescent="0.35">
      <c r="A61" s="1">
        <v>30</v>
      </c>
      <c r="B61">
        <v>16.48265</v>
      </c>
      <c r="C61">
        <v>0.88100000000000001</v>
      </c>
      <c r="D61">
        <v>3.7792590449983732E-2</v>
      </c>
    </row>
    <row r="62" spans="1:4" x14ac:dyDescent="0.35">
      <c r="A62" s="1">
        <v>23</v>
      </c>
      <c r="B62">
        <v>13.416175000000001</v>
      </c>
      <c r="C62">
        <v>0.72599999999999998</v>
      </c>
      <c r="D62">
        <v>3.722057728157635E-2</v>
      </c>
    </row>
    <row r="63" spans="1:4" x14ac:dyDescent="0.35">
      <c r="A63" s="1">
        <v>7</v>
      </c>
      <c r="B63">
        <v>15.31664</v>
      </c>
      <c r="C63">
        <v>0.83499999999999996</v>
      </c>
      <c r="D63">
        <v>2.3508232188526379E-2</v>
      </c>
    </row>
    <row r="64" spans="1:4" x14ac:dyDescent="0.35">
      <c r="A64" s="1">
        <v>52</v>
      </c>
      <c r="B64">
        <v>16.618639999999999</v>
      </c>
      <c r="C64">
        <v>0.92800000000000005</v>
      </c>
      <c r="D64">
        <v>1.6974583118749553E-3</v>
      </c>
    </row>
  </sheetData>
  <autoFilter ref="A1:D64" xr:uid="{54ED21C9-5B93-47B9-B264-08A900ACFAD2}">
    <sortState xmlns:xlrd2="http://schemas.microsoft.com/office/spreadsheetml/2017/richdata2" ref="A2:D64">
      <sortCondition descending="1" ref="D1:D64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0C3F-0102-45D2-858C-C9F3C45EA8D4}">
  <dimension ref="A1:C64"/>
  <sheetViews>
    <sheetView topLeftCell="A60" workbookViewId="0">
      <selection activeCell="E14" sqref="E14"/>
    </sheetView>
  </sheetViews>
  <sheetFormatPr defaultRowHeight="14.5" x14ac:dyDescent="0.35"/>
  <cols>
    <col min="1" max="1" width="3.7265625" bestFit="1" customWidth="1"/>
    <col min="2" max="2" width="18.26953125" bestFit="1" customWidth="1"/>
    <col min="3" max="3" width="6.6328125" bestFit="1" customWidth="1"/>
  </cols>
  <sheetData>
    <row r="1" spans="1:3" x14ac:dyDescent="0.35">
      <c r="A1" t="s">
        <v>0</v>
      </c>
      <c r="B1" s="1" t="s">
        <v>1</v>
      </c>
      <c r="C1" s="1" t="s">
        <v>2</v>
      </c>
    </row>
    <row r="2" spans="1:3" x14ac:dyDescent="0.35">
      <c r="A2">
        <v>1</v>
      </c>
      <c r="B2">
        <v>14.6701</v>
      </c>
      <c r="C2">
        <v>0.80600000000000005</v>
      </c>
    </row>
    <row r="3" spans="1:3" x14ac:dyDescent="0.35">
      <c r="A3">
        <v>2</v>
      </c>
      <c r="B3">
        <v>18.831209999999999</v>
      </c>
      <c r="C3">
        <v>0.85799999999999998</v>
      </c>
    </row>
    <row r="4" spans="1:3" x14ac:dyDescent="0.35">
      <c r="A4">
        <v>3</v>
      </c>
      <c r="B4">
        <v>20.654779999999999</v>
      </c>
      <c r="C4">
        <v>0.95199999999999996</v>
      </c>
    </row>
    <row r="5" spans="1:3" x14ac:dyDescent="0.35">
      <c r="A5">
        <v>4</v>
      </c>
      <c r="B5">
        <v>16.284279999999999</v>
      </c>
      <c r="C5">
        <v>0.92700000000000005</v>
      </c>
    </row>
    <row r="6" spans="1:3" x14ac:dyDescent="0.35">
      <c r="A6">
        <v>5</v>
      </c>
      <c r="B6">
        <v>18.996030000000001</v>
      </c>
      <c r="C6">
        <v>0.94499999999999995</v>
      </c>
    </row>
    <row r="7" spans="1:3" x14ac:dyDescent="0.35">
      <c r="A7">
        <v>6</v>
      </c>
      <c r="B7">
        <v>15.79271</v>
      </c>
      <c r="C7">
        <v>0.78</v>
      </c>
    </row>
    <row r="8" spans="1:3" x14ac:dyDescent="0.35">
      <c r="A8">
        <v>7</v>
      </c>
      <c r="B8">
        <v>15.31664</v>
      </c>
      <c r="C8">
        <v>0.83499999999999996</v>
      </c>
    </row>
    <row r="9" spans="1:3" x14ac:dyDescent="0.35">
      <c r="A9">
        <v>8</v>
      </c>
      <c r="B9">
        <v>11.188420000000001</v>
      </c>
      <c r="C9">
        <v>0.60199999999999998</v>
      </c>
    </row>
    <row r="10" spans="1:3" x14ac:dyDescent="0.35">
      <c r="A10">
        <v>9</v>
      </c>
      <c r="B10">
        <v>15.888260000000001</v>
      </c>
      <c r="C10">
        <v>0.93500000000000005</v>
      </c>
    </row>
    <row r="11" spans="1:3" x14ac:dyDescent="0.35">
      <c r="A11">
        <v>10</v>
      </c>
      <c r="B11">
        <v>16.912420000000001</v>
      </c>
      <c r="C11">
        <v>0.86899999999999999</v>
      </c>
    </row>
    <row r="12" spans="1:3" x14ac:dyDescent="0.35">
      <c r="A12">
        <v>11</v>
      </c>
      <c r="B12">
        <v>16.34815</v>
      </c>
      <c r="C12">
        <v>0.88600000000000001</v>
      </c>
    </row>
    <row r="13" spans="1:3" x14ac:dyDescent="0.35">
      <c r="A13">
        <v>12</v>
      </c>
      <c r="B13">
        <v>16.215599999999998</v>
      </c>
      <c r="C13">
        <v>0.90800000000000003</v>
      </c>
    </row>
    <row r="14" spans="1:3" x14ac:dyDescent="0.35">
      <c r="A14">
        <v>13</v>
      </c>
      <c r="B14">
        <v>16.793500000000002</v>
      </c>
      <c r="C14">
        <v>0.91100000000000003</v>
      </c>
    </row>
    <row r="15" spans="1:3" x14ac:dyDescent="0.35">
      <c r="A15">
        <v>14</v>
      </c>
      <c r="B15">
        <v>18.70401</v>
      </c>
      <c r="C15">
        <v>0.95899999999999996</v>
      </c>
    </row>
    <row r="16" spans="1:3" x14ac:dyDescent="0.35">
      <c r="A16">
        <v>15</v>
      </c>
      <c r="B16">
        <v>15.96786</v>
      </c>
      <c r="C16">
        <v>0.90200000000000002</v>
      </c>
    </row>
    <row r="17" spans="1:3" x14ac:dyDescent="0.35">
      <c r="A17">
        <v>16</v>
      </c>
      <c r="B17">
        <v>19.49409</v>
      </c>
      <c r="C17">
        <v>0.94599999999999995</v>
      </c>
    </row>
    <row r="18" spans="1:3" x14ac:dyDescent="0.35">
      <c r="A18">
        <v>17</v>
      </c>
      <c r="B18">
        <v>16.095120000000001</v>
      </c>
      <c r="C18">
        <v>0.91600000000000004</v>
      </c>
    </row>
    <row r="19" spans="1:3" x14ac:dyDescent="0.35">
      <c r="A19">
        <v>18</v>
      </c>
      <c r="B19">
        <v>16.72683</v>
      </c>
      <c r="C19">
        <v>0.83799999999999997</v>
      </c>
    </row>
    <row r="20" spans="1:3" x14ac:dyDescent="0.35">
      <c r="A20">
        <v>19</v>
      </c>
      <c r="B20">
        <v>17.30922</v>
      </c>
      <c r="C20">
        <v>0.95499999999999996</v>
      </c>
    </row>
    <row r="21" spans="1:3" x14ac:dyDescent="0.35">
      <c r="A21">
        <v>20</v>
      </c>
      <c r="B21">
        <v>20.845500000000001</v>
      </c>
      <c r="C21">
        <v>0.89700000000000002</v>
      </c>
    </row>
    <row r="22" spans="1:3" x14ac:dyDescent="0.35">
      <c r="A22">
        <v>21</v>
      </c>
      <c r="B22">
        <v>15.4694</v>
      </c>
      <c r="C22">
        <v>0.86699999999999999</v>
      </c>
    </row>
    <row r="23" spans="1:3" x14ac:dyDescent="0.35">
      <c r="A23">
        <v>22</v>
      </c>
      <c r="B23">
        <v>18.85059</v>
      </c>
      <c r="C23">
        <v>0.96399999999999997</v>
      </c>
    </row>
    <row r="24" spans="1:3" x14ac:dyDescent="0.35">
      <c r="A24">
        <v>23</v>
      </c>
      <c r="B24">
        <v>13.416175000000001</v>
      </c>
      <c r="C24">
        <v>0.72599999999999998</v>
      </c>
    </row>
    <row r="25" spans="1:3" x14ac:dyDescent="0.35">
      <c r="A25">
        <v>24</v>
      </c>
      <c r="B25">
        <v>19.18488</v>
      </c>
      <c r="C25">
        <v>0.94699999999999995</v>
      </c>
    </row>
    <row r="26" spans="1:3" x14ac:dyDescent="0.35">
      <c r="A26">
        <v>25</v>
      </c>
      <c r="B26">
        <v>14.93416</v>
      </c>
      <c r="C26">
        <v>0.92100000000000004</v>
      </c>
    </row>
    <row r="27" spans="1:3" x14ac:dyDescent="0.35">
      <c r="A27">
        <v>26</v>
      </c>
      <c r="B27">
        <v>16.714200000000002</v>
      </c>
      <c r="C27">
        <v>0.90500000000000003</v>
      </c>
    </row>
    <row r="28" spans="1:3" x14ac:dyDescent="0.35">
      <c r="A28">
        <v>27</v>
      </c>
      <c r="B28">
        <v>15.511979999999999</v>
      </c>
      <c r="C28">
        <v>0.92100000000000004</v>
      </c>
    </row>
    <row r="29" spans="1:3" x14ac:dyDescent="0.35">
      <c r="A29">
        <v>28</v>
      </c>
      <c r="B29">
        <v>13.04355</v>
      </c>
      <c r="C29">
        <v>0.751</v>
      </c>
    </row>
    <row r="30" spans="1:3" x14ac:dyDescent="0.35">
      <c r="A30">
        <v>29</v>
      </c>
      <c r="B30">
        <v>14.018860999999999</v>
      </c>
      <c r="C30">
        <v>0.83099999999999996</v>
      </c>
    </row>
    <row r="31" spans="1:3" x14ac:dyDescent="0.35">
      <c r="A31">
        <v>30</v>
      </c>
      <c r="B31">
        <v>16.48265</v>
      </c>
      <c r="C31">
        <v>0.88100000000000001</v>
      </c>
    </row>
    <row r="32" spans="1:3" x14ac:dyDescent="0.35">
      <c r="A32">
        <v>31</v>
      </c>
      <c r="B32">
        <v>16.45468</v>
      </c>
      <c r="C32">
        <v>0.88800000000000001</v>
      </c>
    </row>
    <row r="33" spans="1:3" x14ac:dyDescent="0.35">
      <c r="A33">
        <v>32</v>
      </c>
      <c r="B33">
        <v>12.519769</v>
      </c>
      <c r="C33">
        <v>0.81</v>
      </c>
    </row>
    <row r="34" spans="1:3" x14ac:dyDescent="0.35">
      <c r="A34">
        <v>33</v>
      </c>
      <c r="B34">
        <v>14.468109999999999</v>
      </c>
      <c r="C34">
        <v>0.78300000000000003</v>
      </c>
    </row>
    <row r="35" spans="1:3" x14ac:dyDescent="0.35">
      <c r="A35">
        <v>34</v>
      </c>
      <c r="B35">
        <v>13.637653999999999</v>
      </c>
      <c r="C35">
        <v>0.74199999999999999</v>
      </c>
    </row>
    <row r="36" spans="1:3" x14ac:dyDescent="0.35">
      <c r="A36">
        <v>35</v>
      </c>
      <c r="B36">
        <v>15.492470000000001</v>
      </c>
      <c r="C36">
        <v>0.85299999999999998</v>
      </c>
    </row>
    <row r="37" spans="1:3" x14ac:dyDescent="0.35">
      <c r="A37">
        <v>36</v>
      </c>
      <c r="B37">
        <v>14.59442</v>
      </c>
      <c r="C37">
        <v>0.70399999999999996</v>
      </c>
    </row>
    <row r="38" spans="1:3" x14ac:dyDescent="0.35">
      <c r="A38">
        <v>37</v>
      </c>
      <c r="B38">
        <v>18.584849999999999</v>
      </c>
      <c r="C38">
        <v>0.95299999999999996</v>
      </c>
    </row>
    <row r="39" spans="1:3" x14ac:dyDescent="0.35">
      <c r="A39">
        <v>38</v>
      </c>
      <c r="B39">
        <v>19.300049999999999</v>
      </c>
      <c r="C39">
        <v>0.93300000000000005</v>
      </c>
    </row>
    <row r="40" spans="1:3" x14ac:dyDescent="0.35">
      <c r="A40">
        <v>39</v>
      </c>
      <c r="B40">
        <v>14.78144</v>
      </c>
      <c r="C40">
        <v>0.81100000000000005</v>
      </c>
    </row>
    <row r="41" spans="1:3" x14ac:dyDescent="0.35">
      <c r="A41">
        <v>40</v>
      </c>
      <c r="B41">
        <v>18.792850000000001</v>
      </c>
      <c r="C41">
        <v>0.96699999999999997</v>
      </c>
    </row>
    <row r="42" spans="1:3" x14ac:dyDescent="0.35">
      <c r="A42">
        <v>41</v>
      </c>
      <c r="B42">
        <v>14.909393</v>
      </c>
      <c r="C42">
        <v>0.79</v>
      </c>
    </row>
    <row r="43" spans="1:3" x14ac:dyDescent="0.35">
      <c r="A43">
        <v>42</v>
      </c>
      <c r="B43">
        <v>12.819046999999999</v>
      </c>
      <c r="C43">
        <v>0.71399999999999997</v>
      </c>
    </row>
    <row r="44" spans="1:3" x14ac:dyDescent="0.35">
      <c r="A44">
        <v>43</v>
      </c>
      <c r="B44">
        <v>16.678280000000001</v>
      </c>
      <c r="C44">
        <v>0.90200000000000002</v>
      </c>
    </row>
    <row r="45" spans="1:3" x14ac:dyDescent="0.35">
      <c r="A45">
        <v>44</v>
      </c>
      <c r="B45">
        <v>17.486820000000002</v>
      </c>
      <c r="C45">
        <v>0.88300000000000001</v>
      </c>
    </row>
    <row r="46" spans="1:3" x14ac:dyDescent="0.35">
      <c r="A46">
        <v>45</v>
      </c>
      <c r="B46">
        <v>13.141159999999999</v>
      </c>
      <c r="C46">
        <v>0.88300000000000001</v>
      </c>
    </row>
    <row r="47" spans="1:3" x14ac:dyDescent="0.35">
      <c r="A47">
        <v>46</v>
      </c>
      <c r="B47">
        <v>14.05288</v>
      </c>
      <c r="C47">
        <v>0.84</v>
      </c>
    </row>
    <row r="48" spans="1:3" x14ac:dyDescent="0.35">
      <c r="A48">
        <v>47</v>
      </c>
      <c r="B48">
        <v>16.94943</v>
      </c>
      <c r="C48">
        <v>0.89300000000000002</v>
      </c>
    </row>
    <row r="49" spans="1:3" x14ac:dyDescent="0.35">
      <c r="A49">
        <v>48</v>
      </c>
      <c r="B49">
        <v>15.042160000000001</v>
      </c>
      <c r="C49">
        <v>0.82599999999999996</v>
      </c>
    </row>
    <row r="50" spans="1:3" x14ac:dyDescent="0.35">
      <c r="A50">
        <v>49</v>
      </c>
      <c r="B50">
        <v>16.742280000000001</v>
      </c>
      <c r="C50">
        <v>0.94199999999999995</v>
      </c>
    </row>
    <row r="51" spans="1:3" x14ac:dyDescent="0.35">
      <c r="A51">
        <v>50</v>
      </c>
      <c r="B51">
        <v>14.94685</v>
      </c>
      <c r="C51">
        <v>0.873</v>
      </c>
    </row>
    <row r="52" spans="1:3" x14ac:dyDescent="0.35">
      <c r="A52">
        <v>51</v>
      </c>
      <c r="B52">
        <v>17.477170000000001</v>
      </c>
      <c r="C52">
        <v>0.92600000000000005</v>
      </c>
    </row>
    <row r="53" spans="1:3" x14ac:dyDescent="0.35">
      <c r="A53">
        <v>52</v>
      </c>
      <c r="B53">
        <v>16.618639999999999</v>
      </c>
      <c r="C53">
        <v>0.92800000000000005</v>
      </c>
    </row>
    <row r="54" spans="1:3" x14ac:dyDescent="0.35">
      <c r="A54">
        <v>53</v>
      </c>
      <c r="B54">
        <v>17.830310000000001</v>
      </c>
      <c r="C54">
        <v>0.91100000000000003</v>
      </c>
    </row>
    <row r="55" spans="1:3" x14ac:dyDescent="0.35">
      <c r="A55">
        <v>54</v>
      </c>
      <c r="B55">
        <v>18.99147</v>
      </c>
      <c r="C55">
        <v>0.95899999999999996</v>
      </c>
    </row>
    <row r="56" spans="1:3" x14ac:dyDescent="0.35">
      <c r="A56">
        <v>55</v>
      </c>
      <c r="B56">
        <v>16.667529999999999</v>
      </c>
      <c r="C56">
        <v>0.96599999999999997</v>
      </c>
    </row>
    <row r="57" spans="1:3" x14ac:dyDescent="0.35">
      <c r="A57">
        <v>56</v>
      </c>
      <c r="B57">
        <v>15.358834999999999</v>
      </c>
      <c r="C57">
        <v>0.79200000000000004</v>
      </c>
    </row>
    <row r="58" spans="1:3" x14ac:dyDescent="0.35">
      <c r="A58">
        <v>57</v>
      </c>
      <c r="B58">
        <v>19.8308</v>
      </c>
      <c r="C58">
        <v>0.85299999999999998</v>
      </c>
    </row>
    <row r="59" spans="1:3" x14ac:dyDescent="0.35">
      <c r="A59">
        <v>58</v>
      </c>
      <c r="B59">
        <v>13.328010000000001</v>
      </c>
      <c r="C59">
        <v>0.77200000000000002</v>
      </c>
    </row>
    <row r="60" spans="1:3" x14ac:dyDescent="0.35">
      <c r="A60">
        <v>59</v>
      </c>
      <c r="B60">
        <v>14.907819999999999</v>
      </c>
      <c r="C60">
        <v>0.92100000000000004</v>
      </c>
    </row>
    <row r="61" spans="1:3" x14ac:dyDescent="0.35">
      <c r="A61">
        <v>60</v>
      </c>
      <c r="B61">
        <v>17.811070000000001</v>
      </c>
      <c r="C61">
        <v>0.94599999999999995</v>
      </c>
    </row>
    <row r="62" spans="1:3" x14ac:dyDescent="0.35">
      <c r="A62">
        <v>61</v>
      </c>
      <c r="B62">
        <v>15.923</v>
      </c>
      <c r="C62">
        <v>0.93</v>
      </c>
    </row>
    <row r="63" spans="1:3" x14ac:dyDescent="0.35">
      <c r="A63">
        <v>62</v>
      </c>
      <c r="B63">
        <v>17.48396</v>
      </c>
      <c r="C63">
        <v>0.85199999999999998</v>
      </c>
    </row>
    <row r="64" spans="1:3" x14ac:dyDescent="0.35">
      <c r="A64">
        <v>63</v>
      </c>
      <c r="B64">
        <v>12.46087</v>
      </c>
      <c r="C64">
        <v>0.73699999999999999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7E4F-E30A-415F-BE57-BE4C5BCBDB47}">
  <dimension ref="A1:C31"/>
  <sheetViews>
    <sheetView workbookViewId="0">
      <selection activeCell="K6" sqref="K6"/>
    </sheetView>
  </sheetViews>
  <sheetFormatPr defaultRowHeight="14.5" x14ac:dyDescent="0.35"/>
  <cols>
    <col min="2" max="2" width="18.26953125" bestFit="1" customWidth="1"/>
  </cols>
  <sheetData>
    <row r="1" spans="1:3" x14ac:dyDescent="0.35">
      <c r="A1" s="1" t="str">
        <f>"Id"</f>
        <v>Id</v>
      </c>
      <c r="B1" s="1" t="s">
        <v>1</v>
      </c>
      <c r="C1" s="1" t="s">
        <v>2</v>
      </c>
    </row>
    <row r="2" spans="1:3" x14ac:dyDescent="0.35">
      <c r="A2" s="1">
        <v>5</v>
      </c>
      <c r="B2">
        <v>18.996030000000001</v>
      </c>
      <c r="C2">
        <v>0.94499999999999995</v>
      </c>
    </row>
    <row r="3" spans="1:3" x14ac:dyDescent="0.35">
      <c r="A3" s="1">
        <v>31</v>
      </c>
      <c r="B3">
        <v>16.45468</v>
      </c>
      <c r="C3">
        <v>0.88800000000000001</v>
      </c>
    </row>
    <row r="4" spans="1:3" x14ac:dyDescent="0.35">
      <c r="A4" s="1">
        <v>6</v>
      </c>
      <c r="B4">
        <v>15.79271</v>
      </c>
      <c r="C4">
        <v>0.78</v>
      </c>
    </row>
    <row r="5" spans="1:3" x14ac:dyDescent="0.35">
      <c r="A5" s="1">
        <v>9</v>
      </c>
      <c r="B5">
        <v>15.888260000000001</v>
      </c>
      <c r="C5">
        <v>0.93500000000000005</v>
      </c>
    </row>
    <row r="6" spans="1:3" x14ac:dyDescent="0.35">
      <c r="A6" s="1">
        <v>4</v>
      </c>
      <c r="B6">
        <v>16.284279999999999</v>
      </c>
      <c r="C6">
        <v>0.92700000000000005</v>
      </c>
    </row>
    <row r="7" spans="1:3" x14ac:dyDescent="0.35">
      <c r="A7" s="1">
        <v>8</v>
      </c>
      <c r="B7">
        <v>11.188420000000001</v>
      </c>
      <c r="C7">
        <v>0.60199999999999998</v>
      </c>
    </row>
    <row r="8" spans="1:3" x14ac:dyDescent="0.35">
      <c r="A8" s="1">
        <v>50</v>
      </c>
      <c r="B8">
        <v>14.94685</v>
      </c>
      <c r="C8">
        <v>0.873</v>
      </c>
    </row>
    <row r="9" spans="1:3" x14ac:dyDescent="0.35">
      <c r="A9" s="1">
        <v>26</v>
      </c>
      <c r="B9">
        <v>16.714200000000002</v>
      </c>
      <c r="C9">
        <v>0.90500000000000003</v>
      </c>
    </row>
    <row r="10" spans="1:3" x14ac:dyDescent="0.35">
      <c r="A10" s="1">
        <v>21</v>
      </c>
      <c r="B10">
        <v>15.4694</v>
      </c>
      <c r="C10">
        <v>0.86699999999999999</v>
      </c>
    </row>
    <row r="11" spans="1:3" x14ac:dyDescent="0.35">
      <c r="A11" s="1">
        <v>61</v>
      </c>
      <c r="B11">
        <v>15.923</v>
      </c>
      <c r="C11">
        <v>0.93</v>
      </c>
    </row>
    <row r="12" spans="1:3" x14ac:dyDescent="0.35">
      <c r="A12" s="1">
        <v>12</v>
      </c>
      <c r="B12">
        <v>16.215599999999998</v>
      </c>
      <c r="C12">
        <v>0.90800000000000003</v>
      </c>
    </row>
    <row r="13" spans="1:3" x14ac:dyDescent="0.35">
      <c r="A13" s="1">
        <v>63</v>
      </c>
      <c r="B13">
        <v>12.46087</v>
      </c>
      <c r="C13">
        <v>0.73699999999999999</v>
      </c>
    </row>
    <row r="14" spans="1:3" x14ac:dyDescent="0.35">
      <c r="A14" s="1">
        <v>13</v>
      </c>
      <c r="B14">
        <v>16.793500000000002</v>
      </c>
      <c r="C14">
        <v>0.91100000000000003</v>
      </c>
    </row>
    <row r="15" spans="1:3" x14ac:dyDescent="0.35">
      <c r="A15" s="1">
        <v>32</v>
      </c>
      <c r="B15">
        <v>12.519769</v>
      </c>
      <c r="C15">
        <v>0.81</v>
      </c>
    </row>
    <row r="16" spans="1:3" x14ac:dyDescent="0.35">
      <c r="A16" s="1">
        <v>25</v>
      </c>
      <c r="B16">
        <v>14.93416</v>
      </c>
      <c r="C16">
        <v>0.92100000000000004</v>
      </c>
    </row>
    <row r="17" spans="1:3" x14ac:dyDescent="0.35">
      <c r="A17" s="1">
        <v>49</v>
      </c>
      <c r="B17">
        <v>16.742280000000001</v>
      </c>
      <c r="C17">
        <v>0.94199999999999995</v>
      </c>
    </row>
    <row r="18" spans="1:3" x14ac:dyDescent="0.35">
      <c r="A18" s="1">
        <v>10</v>
      </c>
      <c r="B18">
        <v>16.912420000000001</v>
      </c>
      <c r="C18">
        <v>0.86899999999999999</v>
      </c>
    </row>
    <row r="19" spans="1:3" x14ac:dyDescent="0.35">
      <c r="A19" s="1">
        <v>24</v>
      </c>
      <c r="B19">
        <v>19.18488</v>
      </c>
      <c r="C19">
        <v>0.94699999999999995</v>
      </c>
    </row>
    <row r="20" spans="1:3" x14ac:dyDescent="0.35">
      <c r="A20" s="1">
        <v>22</v>
      </c>
      <c r="B20">
        <v>18.85059</v>
      </c>
      <c r="C20">
        <v>0.96399999999999997</v>
      </c>
    </row>
    <row r="21" spans="1:3" x14ac:dyDescent="0.35">
      <c r="A21" s="1">
        <v>36</v>
      </c>
      <c r="B21">
        <v>14.59442</v>
      </c>
      <c r="C21">
        <v>0.70399999999999996</v>
      </c>
    </row>
    <row r="22" spans="1:3" x14ac:dyDescent="0.35">
      <c r="A22" s="1">
        <v>37</v>
      </c>
      <c r="B22">
        <v>18.584849999999999</v>
      </c>
      <c r="C22">
        <v>0.95299999999999996</v>
      </c>
    </row>
    <row r="23" spans="1:3" x14ac:dyDescent="0.35">
      <c r="A23" s="1">
        <v>15</v>
      </c>
      <c r="B23">
        <v>15.96786</v>
      </c>
      <c r="C23">
        <v>0.90200000000000002</v>
      </c>
    </row>
    <row r="24" spans="1:3" x14ac:dyDescent="0.35">
      <c r="A24" s="1">
        <v>28</v>
      </c>
      <c r="B24">
        <v>13.04355</v>
      </c>
      <c r="C24">
        <v>0.751</v>
      </c>
    </row>
    <row r="25" spans="1:3" x14ac:dyDescent="0.35">
      <c r="A25" s="1">
        <v>51</v>
      </c>
      <c r="B25">
        <v>17.477170000000001</v>
      </c>
      <c r="C25">
        <v>0.92600000000000005</v>
      </c>
    </row>
    <row r="26" spans="1:3" x14ac:dyDescent="0.35">
      <c r="A26" s="1">
        <v>58</v>
      </c>
      <c r="B26">
        <v>13.328010000000001</v>
      </c>
      <c r="C26">
        <v>0.77200000000000002</v>
      </c>
    </row>
    <row r="27" spans="1:3" x14ac:dyDescent="0.35">
      <c r="A27" s="1">
        <v>33</v>
      </c>
      <c r="B27">
        <v>14.468109999999999</v>
      </c>
      <c r="C27">
        <v>0.78300000000000003</v>
      </c>
    </row>
    <row r="28" spans="1:3" x14ac:dyDescent="0.35">
      <c r="A28" s="1">
        <v>46</v>
      </c>
      <c r="B28">
        <v>14.05288</v>
      </c>
      <c r="C28">
        <v>0.84</v>
      </c>
    </row>
    <row r="29" spans="1:3" x14ac:dyDescent="0.35">
      <c r="A29" s="1">
        <v>19</v>
      </c>
      <c r="B29">
        <v>17.30922</v>
      </c>
      <c r="C29">
        <v>0.95499999999999996</v>
      </c>
    </row>
    <row r="30" spans="1:3" x14ac:dyDescent="0.35">
      <c r="A30" s="1">
        <v>59</v>
      </c>
      <c r="B30">
        <v>14.907819999999999</v>
      </c>
      <c r="C30">
        <v>0.92100000000000004</v>
      </c>
    </row>
    <row r="31" spans="1:3" x14ac:dyDescent="0.35">
      <c r="A31" s="1">
        <v>14</v>
      </c>
      <c r="B31">
        <v>18.70401</v>
      </c>
      <c r="C31">
        <v>0.95899999999999996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Pemodelan</vt:lpstr>
      <vt:lpstr>Data</vt:lpstr>
      <vt:lpstr>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Khayruhanif</dc:creator>
  <cp:lastModifiedBy>Muhammad Khayruhanif</cp:lastModifiedBy>
  <dcterms:created xsi:type="dcterms:W3CDTF">2026-03-04T18:26:35Z</dcterms:created>
  <dcterms:modified xsi:type="dcterms:W3CDTF">2026-03-11T20:56:22Z</dcterms:modified>
</cp:coreProperties>
</file>