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4D7D36F-877F-4C3B-B9F2-20AB7B464464}" xr6:coauthVersionLast="47" xr6:coauthVersionMax="47" xr10:uidLastSave="{00000000-0000-0000-0000-000000000000}"/>
  <bookViews>
    <workbookView xWindow="-110" yWindow="-110" windowWidth="19420" windowHeight="10300" xr2:uid="{7D51DB16-06DF-4F38-BDC4-3967F1EF0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5" i="1" l="1"/>
  <c r="B123" i="1"/>
  <c r="C122" i="1"/>
  <c r="B125" i="1"/>
  <c r="F1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2" i="1"/>
  <c r="B122" i="1"/>
  <c r="B124" i="1"/>
  <c r="N2" i="1"/>
  <c r="C121" i="1"/>
  <c r="B121" i="1"/>
  <c r="E1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2" i="1"/>
</calcChain>
</file>

<file path=xl/sharedStrings.xml><?xml version="1.0" encoding="utf-8"?>
<sst xmlns="http://schemas.openxmlformats.org/spreadsheetml/2006/main" count="127" uniqueCount="127">
  <si>
    <t>Kabupaten/Kota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</si>
  <si>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</si>
  <si>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</si>
  <si>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</si>
  <si>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</si>
  <si>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</si>
  <si>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</si>
  <si>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</si>
  <si>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</si>
  <si>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</si>
  <si>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</si>
  <si>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</si>
  <si>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</si>
  <si>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</si>
  <si>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</si>
  <si>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</si>
  <si>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</si>
  <si>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</si>
  <si>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</si>
  <si>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</si>
  <si>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</si>
  <si>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</si>
  <si>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</si>
  <si>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</si>
  <si>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</si>
  <si>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</si>
  <si>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</si>
  <si>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</si>
  <si>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</si>
  <si>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</si>
  <si>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</si>
  <si>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</si>
  <si>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</si>
  <si>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</si>
  <si>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</si>
  <si>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</si>
  <si>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</si>
  <si>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</si>
  <si>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</si>
  <si>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</si>
  <si>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</si>
  <si>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</si>
  <si>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</si>
  <si>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</si>
  <si>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</si>
  <si>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</si>
  <si>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</si>
  <si>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</si>
  <si>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</si>
  <si>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</si>
  <si>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</si>
  <si>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</si>
  <si>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</si>
  <si>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</si>
  <si>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</si>
  <si>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</si>
  <si>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</si>
  <si>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</si>
  <si>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</si>
  <si>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</si>
  <si>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</si>
  <si>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</si>
  <si>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</si>
  <si>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</si>
  <si>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</si>
  <si>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</si>
  <si>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</si>
  <si>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</si>
  <si>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</si>
  <si>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</si>
  <si>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</si>
  <si>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</si>
  <si>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</si>
  <si>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</si>
  <si>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</si>
  <si>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</si>
  <si>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</si>
  <si>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</si>
  <si>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</si>
  <si>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</si>
  <si>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</si>
  <si>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</si>
  <si>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</si>
  <si>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</si>
  <si>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</si>
  <si>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</si>
  <si>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</si>
  <si>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</si>
  <si>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</si>
  <si>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</si>
  <si>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</si>
  <si>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</si>
  <si>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</si>
  <si>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</si>
  <si>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</si>
  <si>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</si>
  <si>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</si>
  <si>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</si>
  <si>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</si>
  <si>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</si>
  <si>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</si>
  <si>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</si>
  <si>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</si>
  <si>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</si>
  <si>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</si>
  <si>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</si>
  <si>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</si>
  <si>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</si>
  <si>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</si>
  <si>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</si>
  <si>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</si>
  <si>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</si>
  <si>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</si>
  <si>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</si>
  <si>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</si>
  <si>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</si>
  <si>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</si>
  <si>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</si>
  <si>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</si>
  <si>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</si>
  <si>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Indeks Pembangunan Manusia (Y)</t>
  </si>
  <si>
    <t>Rata-Rata Lama Sekolah (X1)</t>
  </si>
  <si>
    <t>B0</t>
  </si>
  <si>
    <t>B1</t>
  </si>
  <si>
    <t>1. Menghitung manual analisis regresi sederhana dari X1 dan Y</t>
  </si>
  <si>
    <t>2. Mencari nilai B0 dan B1</t>
  </si>
  <si>
    <t>Sehingga Y_hat = 50,3533 + 2,8798(X1)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</si>
</sst>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0">
    <xf numFmtId="0" fontId="0" fillId="0" borderId="0" xfId="0"/>
    <xf numFmtId="0" fontId="4" fillId="0" borderId="3" xfId="1" applyFont="1" applyBorder="1" applyAlignment="1">
      <alignment horizontal="center"/>
    </xf>
    <xf numFmtId="0" fontId="3" fillId="2" borderId="1" xfId="1" applyFont="1" applyFill="1" applyBorder="1"/>
    <xf numFmtId="0" fontId="1" fillId="0" borderId="0" xfId="0" applyFont="1"/>
    <xf numFmtId="0" fontId="4" fillId="0" borderId="3" xfId="1" applyFont="1" applyBorder="1" applyAlignment="1">
      <alignment horizontal="center"/>
    </xf>
    <xf numFmtId="0" fontId="3" fillId="3" borderId="2" xfId="1" applyFont="1" applyFill="1" applyBorder="1"/>
    <xf numFmtId="0" fontId="4" fillId="0" borderId="3" xfId="1" applyFont="1" applyBorder="1" applyAlignment="1">
      <alignment horizontal="center"/>
    </xf>
    <xf numFmtId="0" fontId="3" fillId="4" borderId="2" xfId="1" applyFont="1" applyFill="1" applyBorder="1"/>
    <xf numFmtId="0" fontId="1" fillId="5" borderId="0" xfId="0" applyFont="1" applyFill="1"/>
    <xf numFmtId="0" fontId="1" fillId="6" borderId="0" xfId="0" applyFont="1" applyFill="1"/>
  </cellXfs>
  <cellStyles count="3">
    <cellStyle name="Normal" xfId="0" builtinId="0"/>
    <cellStyle name="Normal 2" xfId="2" xr:uid="{6FCAC835-16F6-402C-8C13-869A689B7C1C}"/>
    <cellStyle name="Normal 3" xfId="1" xr:uid="{B0AE01DF-D4F6-4996-9BE3-305FC7E89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9D62-020C-408A-9092-84572CB1B61F}">
  <dimension ref="A1:N126"/>
  <sheetViews>
    <sheetView tabSelected="1" workbookViewId="0">
      <selection activeCell="H11" sqref="H11"/>
    </sheetView>
  </sheetViews>
  <sheetFormatPr defaultRowHeight="14.5" x14ac:dyDescent="0.35"/>
  <cols>
    <col min="1" max="1" width="20.36328125" bestFit="1" customWidth="1"/>
    <col min="2" max="2" width="26.1796875" bestFit="1" customWidth="1"/>
    <col min="3" max="3" width="33.1796875" bestFit="1" customWidth="1"/>
    <col min="8" max="8" width="53.6328125" bestFit="1" customWidth="1"/>
  </cols>
  <sheetData>
    <row r="1" spans="1:14" x14ac:dyDescent="0.35">
      <c r="A1" s="2" t="s">
        <v>0</v>
      </c>
      <c r="B1" s="7" t="s">
        <v>121</v>
      </c>
      <c r="C1" s="5" t="s">
        <v>120</v>
      </c>
    </row>
    <row r="2" spans="1:14" x14ac:dyDescent="0.35">
      <c r="A2" s="1" t="s">
        <v>1</v>
      </c>
      <c r="B2" s="6">
        <v>9.26</v>
      </c>
      <c r="C2" s="4">
        <v>76.69</v>
      </c>
      <c r="E2">
        <f>B2*C2</f>
        <v>710.14940000000001</v>
      </c>
      <c r="F2">
        <f>B2^2</f>
        <v>85.747599999999991</v>
      </c>
      <c r="H2" t="s">
        <v>124</v>
      </c>
      <c r="N2">
        <f>B121</f>
        <v>1051.0499999999995</v>
      </c>
    </row>
    <row r="3" spans="1:14" x14ac:dyDescent="0.35">
      <c r="A3" s="1" t="s">
        <v>2</v>
      </c>
      <c r="B3" s="6">
        <v>11.95</v>
      </c>
      <c r="C3" s="4">
        <v>87.57</v>
      </c>
      <c r="E3">
        <f t="shared" ref="E3:E66" si="0">B3*C3</f>
        <v>1046.4614999999999</v>
      </c>
      <c r="F3">
        <f t="shared" ref="F3:F66" si="1">B3^2</f>
        <v>142.80249999999998</v>
      </c>
      <c r="H3" t="s">
        <v>125</v>
      </c>
    </row>
    <row r="4" spans="1:14" x14ac:dyDescent="0.35">
      <c r="A4" s="1" t="s">
        <v>3</v>
      </c>
      <c r="B4" s="6">
        <v>11.99</v>
      </c>
      <c r="C4" s="4">
        <v>84.76</v>
      </c>
      <c r="E4">
        <f t="shared" si="0"/>
        <v>1016.2724000000001</v>
      </c>
      <c r="F4">
        <f t="shared" si="1"/>
        <v>143.76009999999999</v>
      </c>
    </row>
    <row r="5" spans="1:14" x14ac:dyDescent="0.35">
      <c r="A5" s="1" t="s">
        <v>4</v>
      </c>
      <c r="B5" s="6">
        <v>11.61</v>
      </c>
      <c r="C5" s="4">
        <v>83.75</v>
      </c>
      <c r="E5">
        <f t="shared" si="0"/>
        <v>972.33749999999998</v>
      </c>
      <c r="F5">
        <f t="shared" si="1"/>
        <v>134.79209999999998</v>
      </c>
    </row>
    <row r="6" spans="1:14" x14ac:dyDescent="0.35">
      <c r="A6" s="1" t="s">
        <v>5</v>
      </c>
      <c r="B6" s="6">
        <v>11.24</v>
      </c>
      <c r="C6" s="4">
        <v>84.4</v>
      </c>
      <c r="E6">
        <f t="shared" si="0"/>
        <v>948.65600000000006</v>
      </c>
      <c r="F6">
        <f t="shared" si="1"/>
        <v>126.33760000000001</v>
      </c>
    </row>
    <row r="7" spans="1:14" x14ac:dyDescent="0.35">
      <c r="A7" s="1" t="s">
        <v>6</v>
      </c>
      <c r="B7" s="6">
        <v>10.85</v>
      </c>
      <c r="C7" s="4">
        <v>82.13</v>
      </c>
      <c r="E7">
        <f t="shared" si="0"/>
        <v>891.11049999999989</v>
      </c>
      <c r="F7">
        <f t="shared" si="1"/>
        <v>117.7225</v>
      </c>
    </row>
    <row r="8" spans="1:14" x14ac:dyDescent="0.35">
      <c r="A8" s="1" t="s">
        <v>7</v>
      </c>
      <c r="B8" s="6">
        <v>8.89</v>
      </c>
      <c r="C8" s="4">
        <v>73.63</v>
      </c>
      <c r="E8">
        <f t="shared" si="0"/>
        <v>654.57069999999999</v>
      </c>
      <c r="F8">
        <f t="shared" si="1"/>
        <v>79.032100000000014</v>
      </c>
    </row>
    <row r="9" spans="1:14" x14ac:dyDescent="0.35">
      <c r="A9" s="1" t="s">
        <v>8</v>
      </c>
      <c r="B9" s="6">
        <v>7.75</v>
      </c>
      <c r="C9" s="4">
        <v>70.180000000000007</v>
      </c>
      <c r="E9">
        <f t="shared" si="0"/>
        <v>543.8950000000001</v>
      </c>
      <c r="F9">
        <f t="shared" si="1"/>
        <v>60.0625</v>
      </c>
    </row>
    <row r="10" spans="1:14" x14ac:dyDescent="0.35">
      <c r="A10" s="1" t="s">
        <v>9</v>
      </c>
      <c r="B10" s="6">
        <v>7.91</v>
      </c>
      <c r="C10" s="4">
        <v>68.89</v>
      </c>
      <c r="E10">
        <f t="shared" si="0"/>
        <v>544.91989999999998</v>
      </c>
      <c r="F10">
        <f t="shared" si="1"/>
        <v>62.568100000000001</v>
      </c>
    </row>
    <row r="11" spans="1:14" x14ac:dyDescent="0.35">
      <c r="A11" s="1" t="s">
        <v>10</v>
      </c>
      <c r="B11" s="6">
        <v>9.4499999999999993</v>
      </c>
      <c r="C11" s="4">
        <v>74.59</v>
      </c>
      <c r="E11">
        <f t="shared" si="0"/>
        <v>704.87549999999999</v>
      </c>
      <c r="F11">
        <f t="shared" si="1"/>
        <v>89.302499999999981</v>
      </c>
    </row>
    <row r="12" spans="1:14" x14ac:dyDescent="0.35">
      <c r="A12" s="1" t="s">
        <v>11</v>
      </c>
      <c r="B12" s="6">
        <v>8.31</v>
      </c>
      <c r="C12" s="4">
        <v>69.91</v>
      </c>
      <c r="E12">
        <f t="shared" si="0"/>
        <v>580.95209999999997</v>
      </c>
      <c r="F12">
        <f t="shared" si="1"/>
        <v>69.056100000000015</v>
      </c>
    </row>
    <row r="13" spans="1:14" x14ac:dyDescent="0.35">
      <c r="A13" s="1" t="s">
        <v>12</v>
      </c>
      <c r="B13" s="6">
        <v>8.32</v>
      </c>
      <c r="C13" s="4">
        <v>69.98</v>
      </c>
      <c r="E13">
        <f t="shared" si="0"/>
        <v>582.23360000000002</v>
      </c>
      <c r="F13">
        <f t="shared" si="1"/>
        <v>69.222400000000007</v>
      </c>
    </row>
    <row r="14" spans="1:14" x14ac:dyDescent="0.35">
      <c r="A14" s="1" t="s">
        <v>13</v>
      </c>
      <c r="B14" s="6">
        <v>8.33</v>
      </c>
      <c r="C14" s="4">
        <v>73.64</v>
      </c>
      <c r="E14">
        <f t="shared" si="0"/>
        <v>613.4212</v>
      </c>
      <c r="F14">
        <f t="shared" si="1"/>
        <v>69.388900000000007</v>
      </c>
    </row>
    <row r="15" spans="1:14" x14ac:dyDescent="0.35">
      <c r="A15" s="1" t="s">
        <v>14</v>
      </c>
      <c r="B15" s="6">
        <v>8.18</v>
      </c>
      <c r="C15" s="4">
        <v>71.56</v>
      </c>
      <c r="E15">
        <f t="shared" si="0"/>
        <v>585.36080000000004</v>
      </c>
      <c r="F15">
        <f t="shared" si="1"/>
        <v>66.912399999999991</v>
      </c>
    </row>
    <row r="16" spans="1:14" x14ac:dyDescent="0.35">
      <c r="A16" s="1" t="s">
        <v>15</v>
      </c>
      <c r="B16" s="6">
        <v>8.06</v>
      </c>
      <c r="C16" s="4">
        <v>72.3</v>
      </c>
      <c r="E16">
        <f t="shared" si="0"/>
        <v>582.73800000000006</v>
      </c>
      <c r="F16">
        <f t="shared" si="1"/>
        <v>64.963600000000014</v>
      </c>
    </row>
    <row r="17" spans="1:6" x14ac:dyDescent="0.35">
      <c r="A17" s="1" t="s">
        <v>16</v>
      </c>
      <c r="B17" s="6">
        <v>7.99</v>
      </c>
      <c r="C17" s="4">
        <v>71.37</v>
      </c>
      <c r="E17">
        <f t="shared" si="0"/>
        <v>570.24630000000002</v>
      </c>
      <c r="F17">
        <f t="shared" si="1"/>
        <v>63.840100000000007</v>
      </c>
    </row>
    <row r="18" spans="1:6" x14ac:dyDescent="0.35">
      <c r="A18" s="1" t="s">
        <v>17</v>
      </c>
      <c r="B18" s="6">
        <v>8.86</v>
      </c>
      <c r="C18" s="4">
        <v>74.569999999999993</v>
      </c>
      <c r="E18">
        <f t="shared" si="0"/>
        <v>660.69019999999989</v>
      </c>
      <c r="F18">
        <f t="shared" si="1"/>
        <v>78.499599999999987</v>
      </c>
    </row>
    <row r="19" spans="1:6" x14ac:dyDescent="0.35">
      <c r="A19" s="1" t="s">
        <v>18</v>
      </c>
      <c r="B19" s="6">
        <v>7.45</v>
      </c>
      <c r="C19" s="4">
        <v>70.72</v>
      </c>
      <c r="E19">
        <f t="shared" si="0"/>
        <v>526.86400000000003</v>
      </c>
      <c r="F19">
        <f t="shared" si="1"/>
        <v>55.502500000000005</v>
      </c>
    </row>
    <row r="20" spans="1:6" x14ac:dyDescent="0.35">
      <c r="A20" s="1" t="s">
        <v>19</v>
      </c>
      <c r="B20" s="6">
        <v>7.88</v>
      </c>
      <c r="C20" s="4">
        <v>72.05</v>
      </c>
      <c r="E20">
        <f t="shared" si="0"/>
        <v>567.75400000000002</v>
      </c>
      <c r="F20">
        <f t="shared" si="1"/>
        <v>62.0944</v>
      </c>
    </row>
    <row r="21" spans="1:6" x14ac:dyDescent="0.35">
      <c r="A21" s="1" t="s">
        <v>20</v>
      </c>
      <c r="B21" s="6">
        <v>8.4</v>
      </c>
      <c r="C21" s="4">
        <v>73.989999999999995</v>
      </c>
      <c r="E21">
        <f t="shared" si="0"/>
        <v>621.51599999999996</v>
      </c>
      <c r="F21">
        <f t="shared" si="1"/>
        <v>70.56</v>
      </c>
    </row>
    <row r="22" spans="1:6" x14ac:dyDescent="0.35">
      <c r="A22" s="1" t="s">
        <v>21</v>
      </c>
      <c r="B22" s="6">
        <v>8.5399999999999991</v>
      </c>
      <c r="C22" s="4">
        <v>73.819999999999993</v>
      </c>
      <c r="E22">
        <f t="shared" si="0"/>
        <v>630.42279999999982</v>
      </c>
      <c r="F22">
        <f t="shared" si="1"/>
        <v>72.931599999999989</v>
      </c>
    </row>
    <row r="23" spans="1:6" x14ac:dyDescent="0.35">
      <c r="A23" s="1" t="s">
        <v>22</v>
      </c>
      <c r="B23" s="6">
        <v>10.19</v>
      </c>
      <c r="C23" s="4">
        <v>76.8</v>
      </c>
      <c r="E23">
        <f t="shared" si="0"/>
        <v>782.59199999999998</v>
      </c>
      <c r="F23">
        <f t="shared" si="1"/>
        <v>103.83609999999999</v>
      </c>
    </row>
    <row r="24" spans="1:6" x14ac:dyDescent="0.35">
      <c r="A24" s="1" t="s">
        <v>23</v>
      </c>
      <c r="B24" s="6">
        <v>8.57</v>
      </c>
      <c r="C24" s="4">
        <v>70.77</v>
      </c>
      <c r="E24">
        <f t="shared" si="0"/>
        <v>606.49889999999994</v>
      </c>
      <c r="F24">
        <f t="shared" si="1"/>
        <v>73.444900000000004</v>
      </c>
    </row>
    <row r="25" spans="1:6" x14ac:dyDescent="0.35">
      <c r="A25" s="1" t="s">
        <v>24</v>
      </c>
      <c r="B25" s="6">
        <v>8.4700000000000006</v>
      </c>
      <c r="C25" s="4">
        <v>71.03</v>
      </c>
      <c r="E25">
        <f t="shared" si="0"/>
        <v>601.6241</v>
      </c>
      <c r="F25">
        <f t="shared" si="1"/>
        <v>71.740900000000011</v>
      </c>
    </row>
    <row r="26" spans="1:6" x14ac:dyDescent="0.35">
      <c r="A26" s="1" t="s">
        <v>25</v>
      </c>
      <c r="B26" s="6">
        <v>10.79</v>
      </c>
      <c r="C26" s="4">
        <v>79.03</v>
      </c>
      <c r="E26">
        <f t="shared" si="0"/>
        <v>852.7337</v>
      </c>
      <c r="F26">
        <f t="shared" si="1"/>
        <v>116.42409999999998</v>
      </c>
    </row>
    <row r="27" spans="1:6" x14ac:dyDescent="0.35">
      <c r="A27" s="1" t="s">
        <v>26</v>
      </c>
      <c r="B27" s="6">
        <v>10.44</v>
      </c>
      <c r="C27" s="4">
        <v>77.69</v>
      </c>
      <c r="E27">
        <f t="shared" si="0"/>
        <v>811.08359999999993</v>
      </c>
      <c r="F27">
        <f t="shared" si="1"/>
        <v>108.99359999999999</v>
      </c>
    </row>
    <row r="28" spans="1:6" x14ac:dyDescent="0.35">
      <c r="A28" s="1" t="s">
        <v>27</v>
      </c>
      <c r="B28" s="6">
        <v>11.05</v>
      </c>
      <c r="C28" s="4">
        <v>83.75</v>
      </c>
      <c r="E28">
        <f t="shared" si="0"/>
        <v>925.43750000000011</v>
      </c>
      <c r="F28">
        <f t="shared" si="1"/>
        <v>122.10250000000002</v>
      </c>
    </row>
    <row r="29" spans="1:6" x14ac:dyDescent="0.35">
      <c r="A29" s="1" t="s">
        <v>28</v>
      </c>
      <c r="B29" s="6">
        <v>10.66</v>
      </c>
      <c r="C29" s="4">
        <v>78.09</v>
      </c>
      <c r="E29">
        <f t="shared" si="0"/>
        <v>832.43940000000009</v>
      </c>
      <c r="F29">
        <f t="shared" si="1"/>
        <v>113.6356</v>
      </c>
    </row>
    <row r="30" spans="1:6" x14ac:dyDescent="0.35">
      <c r="A30" s="1" t="s">
        <v>29</v>
      </c>
      <c r="B30" s="6">
        <v>11.9</v>
      </c>
      <c r="C30" s="4">
        <v>83.55</v>
      </c>
      <c r="E30">
        <f t="shared" si="0"/>
        <v>994.245</v>
      </c>
      <c r="F30">
        <f t="shared" si="1"/>
        <v>141.61000000000001</v>
      </c>
    </row>
    <row r="31" spans="1:6" x14ac:dyDescent="0.35">
      <c r="A31" s="1" t="s">
        <v>30</v>
      </c>
      <c r="B31" s="6">
        <v>11.58</v>
      </c>
      <c r="C31" s="4">
        <v>83.05</v>
      </c>
      <c r="E31">
        <f t="shared" si="0"/>
        <v>961.71899999999994</v>
      </c>
      <c r="F31">
        <f t="shared" si="1"/>
        <v>134.09639999999999</v>
      </c>
    </row>
    <row r="32" spans="1:6" x14ac:dyDescent="0.35">
      <c r="A32" s="1" t="s">
        <v>31</v>
      </c>
      <c r="B32" s="6">
        <v>11.47</v>
      </c>
      <c r="C32" s="4">
        <v>80.3</v>
      </c>
      <c r="E32">
        <f t="shared" si="0"/>
        <v>921.04100000000005</v>
      </c>
      <c r="F32">
        <f t="shared" si="1"/>
        <v>131.5609</v>
      </c>
    </row>
    <row r="33" spans="1:6" x14ac:dyDescent="0.35">
      <c r="A33" s="1" t="s">
        <v>32</v>
      </c>
      <c r="B33" s="6">
        <v>9.86</v>
      </c>
      <c r="C33" s="4">
        <v>76.03</v>
      </c>
      <c r="E33">
        <f t="shared" si="0"/>
        <v>749.6558</v>
      </c>
      <c r="F33">
        <f t="shared" si="1"/>
        <v>97.219599999999986</v>
      </c>
    </row>
    <row r="34" spans="1:6" x14ac:dyDescent="0.35">
      <c r="A34" s="1" t="s">
        <v>33</v>
      </c>
      <c r="B34" s="6">
        <v>9.15</v>
      </c>
      <c r="C34" s="4">
        <v>75.010000000000005</v>
      </c>
      <c r="E34">
        <f t="shared" si="0"/>
        <v>686.34150000000011</v>
      </c>
      <c r="F34">
        <f t="shared" si="1"/>
        <v>83.722500000000011</v>
      </c>
    </row>
    <row r="35" spans="1:6" x14ac:dyDescent="0.35">
      <c r="A35" s="1" t="s">
        <v>34</v>
      </c>
      <c r="B35" s="6">
        <v>7.4</v>
      </c>
      <c r="C35" s="4">
        <v>72.55</v>
      </c>
      <c r="E35">
        <f t="shared" si="0"/>
        <v>536.87</v>
      </c>
      <c r="F35">
        <f t="shared" si="1"/>
        <v>54.760000000000005</v>
      </c>
    </row>
    <row r="36" spans="1:6" x14ac:dyDescent="0.35">
      <c r="A36" s="1" t="s">
        <v>35</v>
      </c>
      <c r="B36" s="6">
        <v>7.91</v>
      </c>
      <c r="C36" s="4">
        <v>74.52</v>
      </c>
      <c r="E36">
        <f t="shared" si="0"/>
        <v>589.45319999999992</v>
      </c>
      <c r="F36">
        <f t="shared" si="1"/>
        <v>62.568100000000001</v>
      </c>
    </row>
    <row r="37" spans="1:6" x14ac:dyDescent="0.35">
      <c r="A37" s="1" t="s">
        <v>36</v>
      </c>
      <c r="B37" s="6">
        <v>7.36</v>
      </c>
      <c r="C37" s="4">
        <v>70.97</v>
      </c>
      <c r="E37">
        <f t="shared" si="0"/>
        <v>522.33920000000001</v>
      </c>
      <c r="F37">
        <f t="shared" si="1"/>
        <v>54.169600000000003</v>
      </c>
    </row>
    <row r="38" spans="1:6" x14ac:dyDescent="0.35">
      <c r="A38" s="1" t="s">
        <v>37</v>
      </c>
      <c r="B38" s="6">
        <v>6.87</v>
      </c>
      <c r="C38" s="4">
        <v>69.62</v>
      </c>
      <c r="E38">
        <f t="shared" si="0"/>
        <v>478.28940000000006</v>
      </c>
      <c r="F38">
        <f t="shared" si="1"/>
        <v>47.196899999999999</v>
      </c>
    </row>
    <row r="39" spans="1:6" x14ac:dyDescent="0.35">
      <c r="A39" s="1" t="s">
        <v>38</v>
      </c>
      <c r="B39" s="6">
        <v>7.87</v>
      </c>
      <c r="C39" s="4">
        <v>72.48</v>
      </c>
      <c r="E39">
        <f t="shared" si="0"/>
        <v>570.41759999999999</v>
      </c>
      <c r="F39">
        <f t="shared" si="1"/>
        <v>61.936900000000001</v>
      </c>
    </row>
    <row r="40" spans="1:6" x14ac:dyDescent="0.35">
      <c r="A40" s="1" t="s">
        <v>39</v>
      </c>
      <c r="B40" s="6">
        <v>8.65</v>
      </c>
      <c r="C40" s="4">
        <v>75.16</v>
      </c>
      <c r="E40">
        <f t="shared" si="0"/>
        <v>650.13400000000001</v>
      </c>
      <c r="F40">
        <f t="shared" si="1"/>
        <v>74.822500000000005</v>
      </c>
    </row>
    <row r="41" spans="1:6" x14ac:dyDescent="0.35">
      <c r="A41" s="1" t="s">
        <v>40</v>
      </c>
      <c r="B41" s="6">
        <v>6.9</v>
      </c>
      <c r="C41" s="4">
        <v>70.63</v>
      </c>
      <c r="E41">
        <f t="shared" si="0"/>
        <v>487.34699999999998</v>
      </c>
      <c r="F41">
        <f t="shared" si="1"/>
        <v>47.610000000000007</v>
      </c>
    </row>
    <row r="42" spans="1:6" x14ac:dyDescent="0.35">
      <c r="A42" s="1" t="s">
        <v>41</v>
      </c>
      <c r="B42" s="6">
        <v>7.83</v>
      </c>
      <c r="C42" s="4">
        <v>72.099999999999994</v>
      </c>
      <c r="E42">
        <f t="shared" si="0"/>
        <v>564.54300000000001</v>
      </c>
      <c r="F42">
        <f t="shared" si="1"/>
        <v>61.308900000000001</v>
      </c>
    </row>
    <row r="43" spans="1:6" x14ac:dyDescent="0.35">
      <c r="A43" s="1" t="s">
        <v>42</v>
      </c>
      <c r="B43" s="6">
        <v>8.17</v>
      </c>
      <c r="C43" s="4">
        <v>75.959999999999994</v>
      </c>
      <c r="E43">
        <f t="shared" si="0"/>
        <v>620.59319999999991</v>
      </c>
      <c r="F43">
        <f t="shared" si="1"/>
        <v>66.748899999999992</v>
      </c>
    </row>
    <row r="44" spans="1:6" x14ac:dyDescent="0.35">
      <c r="A44" s="1" t="s">
        <v>43</v>
      </c>
      <c r="B44" s="6">
        <v>9.2899999999999991</v>
      </c>
      <c r="C44" s="4">
        <v>78.16</v>
      </c>
      <c r="E44">
        <f t="shared" si="0"/>
        <v>726.10639999999989</v>
      </c>
      <c r="F44">
        <f t="shared" si="1"/>
        <v>86.304099999999991</v>
      </c>
    </row>
    <row r="45" spans="1:6" x14ac:dyDescent="0.35">
      <c r="A45" s="1" t="s">
        <v>44</v>
      </c>
      <c r="B45" s="6">
        <v>10.01</v>
      </c>
      <c r="C45" s="4">
        <v>79.3</v>
      </c>
      <c r="E45">
        <f t="shared" si="0"/>
        <v>793.79300000000001</v>
      </c>
      <c r="F45">
        <f t="shared" si="1"/>
        <v>100.20009999999999</v>
      </c>
    </row>
    <row r="46" spans="1:6" x14ac:dyDescent="0.35">
      <c r="A46" s="1" t="s">
        <v>45</v>
      </c>
      <c r="B46" s="6">
        <v>7.68</v>
      </c>
      <c r="C46" s="4">
        <v>72.540000000000006</v>
      </c>
      <c r="E46">
        <f t="shared" si="0"/>
        <v>557.10720000000003</v>
      </c>
      <c r="F46">
        <f t="shared" si="1"/>
        <v>58.982399999999998</v>
      </c>
    </row>
    <row r="47" spans="1:6" x14ac:dyDescent="0.35">
      <c r="A47" s="1" t="s">
        <v>46</v>
      </c>
      <c r="B47" s="6">
        <v>9.26</v>
      </c>
      <c r="C47" s="4">
        <v>78.11</v>
      </c>
      <c r="E47">
        <f t="shared" si="0"/>
        <v>723.29859999999996</v>
      </c>
      <c r="F47">
        <f t="shared" si="1"/>
        <v>85.747599999999991</v>
      </c>
    </row>
    <row r="48" spans="1:6" x14ac:dyDescent="0.35">
      <c r="A48" s="1" t="s">
        <v>47</v>
      </c>
      <c r="B48" s="6">
        <v>7.88</v>
      </c>
      <c r="C48" s="4">
        <v>75.53</v>
      </c>
      <c r="E48">
        <f t="shared" si="0"/>
        <v>595.17639999999994</v>
      </c>
      <c r="F48">
        <f t="shared" si="1"/>
        <v>62.0944</v>
      </c>
    </row>
    <row r="49" spans="1:6" x14ac:dyDescent="0.35">
      <c r="A49" s="1" t="s">
        <v>48</v>
      </c>
      <c r="B49" s="6">
        <v>7.29</v>
      </c>
      <c r="C49" s="4">
        <v>72.02</v>
      </c>
      <c r="E49">
        <f t="shared" si="0"/>
        <v>525.0258</v>
      </c>
      <c r="F49">
        <f t="shared" si="1"/>
        <v>53.144100000000002</v>
      </c>
    </row>
    <row r="50" spans="1:6" x14ac:dyDescent="0.35">
      <c r="A50" s="1" t="s">
        <v>49</v>
      </c>
      <c r="B50" s="6">
        <v>7.26</v>
      </c>
      <c r="C50" s="4">
        <v>71.42</v>
      </c>
      <c r="E50">
        <f t="shared" si="0"/>
        <v>518.50919999999996</v>
      </c>
      <c r="F50">
        <f t="shared" si="1"/>
        <v>52.707599999999999</v>
      </c>
    </row>
    <row r="51" spans="1:6" x14ac:dyDescent="0.35">
      <c r="A51" s="1" t="s">
        <v>50</v>
      </c>
      <c r="B51" s="6">
        <v>7.73</v>
      </c>
      <c r="C51" s="4">
        <v>72.53</v>
      </c>
      <c r="E51">
        <f t="shared" si="0"/>
        <v>560.65690000000006</v>
      </c>
      <c r="F51">
        <f t="shared" si="1"/>
        <v>59.752900000000004</v>
      </c>
    </row>
    <row r="52" spans="1:6" x14ac:dyDescent="0.35">
      <c r="A52" s="1" t="s">
        <v>51</v>
      </c>
      <c r="B52" s="6">
        <v>7.82</v>
      </c>
      <c r="C52" s="4">
        <v>74.099999999999994</v>
      </c>
      <c r="E52">
        <f t="shared" si="0"/>
        <v>579.46199999999999</v>
      </c>
      <c r="F52">
        <f t="shared" si="1"/>
        <v>61.152400000000007</v>
      </c>
    </row>
    <row r="53" spans="1:6" x14ac:dyDescent="0.35">
      <c r="A53" s="1" t="s">
        <v>52</v>
      </c>
      <c r="B53" s="6">
        <v>9.35</v>
      </c>
      <c r="C53" s="4">
        <v>77.209999999999994</v>
      </c>
      <c r="E53">
        <f t="shared" si="0"/>
        <v>721.91349999999989</v>
      </c>
      <c r="F53">
        <f t="shared" si="1"/>
        <v>87.422499999999999</v>
      </c>
    </row>
    <row r="54" spans="1:6" x14ac:dyDescent="0.35">
      <c r="A54" s="1" t="s">
        <v>53</v>
      </c>
      <c r="B54" s="6">
        <v>8.27</v>
      </c>
      <c r="C54" s="4">
        <v>74.319999999999993</v>
      </c>
      <c r="E54">
        <f t="shared" si="0"/>
        <v>614.62639999999988</v>
      </c>
      <c r="F54">
        <f t="shared" si="1"/>
        <v>68.392899999999997</v>
      </c>
    </row>
    <row r="55" spans="1:6" x14ac:dyDescent="0.35">
      <c r="A55" s="1" t="s">
        <v>54</v>
      </c>
      <c r="B55" s="6">
        <v>8.2799999999999994</v>
      </c>
      <c r="C55" s="4">
        <v>74.569999999999993</v>
      </c>
      <c r="E55">
        <f t="shared" si="0"/>
        <v>617.43959999999993</v>
      </c>
      <c r="F55">
        <f t="shared" si="1"/>
        <v>68.558399999999992</v>
      </c>
    </row>
    <row r="56" spans="1:6" x14ac:dyDescent="0.35">
      <c r="A56" s="1" t="s">
        <v>55</v>
      </c>
      <c r="B56" s="6">
        <v>8.16</v>
      </c>
      <c r="C56" s="4">
        <v>75.67</v>
      </c>
      <c r="E56">
        <f t="shared" si="0"/>
        <v>617.46720000000005</v>
      </c>
      <c r="F56">
        <f t="shared" si="1"/>
        <v>66.585599999999999</v>
      </c>
    </row>
    <row r="57" spans="1:6" x14ac:dyDescent="0.35">
      <c r="A57" s="1" t="s">
        <v>56</v>
      </c>
      <c r="B57" s="6">
        <v>7.53</v>
      </c>
      <c r="C57" s="4">
        <v>71.86</v>
      </c>
      <c r="E57">
        <f t="shared" si="0"/>
        <v>541.10580000000004</v>
      </c>
      <c r="F57">
        <f t="shared" si="1"/>
        <v>56.700900000000004</v>
      </c>
    </row>
    <row r="58" spans="1:6" x14ac:dyDescent="0.35">
      <c r="A58" s="1" t="s">
        <v>57</v>
      </c>
      <c r="B58" s="6">
        <v>7.74</v>
      </c>
      <c r="C58" s="4">
        <v>74.34</v>
      </c>
      <c r="E58">
        <f t="shared" si="0"/>
        <v>575.39160000000004</v>
      </c>
      <c r="F58">
        <f t="shared" si="1"/>
        <v>59.907600000000002</v>
      </c>
    </row>
    <row r="59" spans="1:6" x14ac:dyDescent="0.35">
      <c r="A59" s="1" t="s">
        <v>58</v>
      </c>
      <c r="B59" s="6">
        <v>7.08</v>
      </c>
      <c r="C59" s="4">
        <v>70.73</v>
      </c>
      <c r="E59">
        <f t="shared" si="0"/>
        <v>500.76840000000004</v>
      </c>
      <c r="F59">
        <f t="shared" si="1"/>
        <v>50.126400000000004</v>
      </c>
    </row>
    <row r="60" spans="1:6" x14ac:dyDescent="0.35">
      <c r="A60" s="1" t="s">
        <v>59</v>
      </c>
      <c r="B60" s="6">
        <v>7.48</v>
      </c>
      <c r="C60" s="4">
        <v>71.95</v>
      </c>
      <c r="E60">
        <f t="shared" si="0"/>
        <v>538.18600000000004</v>
      </c>
      <c r="F60">
        <f t="shared" si="1"/>
        <v>55.950400000000009</v>
      </c>
    </row>
    <row r="61" spans="1:6" x14ac:dyDescent="0.35">
      <c r="A61" s="1" t="s">
        <v>60</v>
      </c>
      <c r="B61" s="6">
        <v>6.56</v>
      </c>
      <c r="C61" s="4">
        <v>68.650000000000006</v>
      </c>
      <c r="E61">
        <f t="shared" si="0"/>
        <v>450.34399999999999</v>
      </c>
      <c r="F61">
        <f t="shared" si="1"/>
        <v>43.033599999999993</v>
      </c>
    </row>
    <row r="62" spans="1:6" x14ac:dyDescent="0.35">
      <c r="A62" s="1" t="s">
        <v>61</v>
      </c>
      <c r="B62" s="6">
        <v>7.36</v>
      </c>
      <c r="C62" s="4">
        <v>71.7</v>
      </c>
      <c r="E62">
        <f t="shared" si="0"/>
        <v>527.71199999999999</v>
      </c>
      <c r="F62">
        <f t="shared" si="1"/>
        <v>54.169600000000003</v>
      </c>
    </row>
    <row r="63" spans="1:6" x14ac:dyDescent="0.35">
      <c r="A63" s="1" t="s">
        <v>62</v>
      </c>
      <c r="B63" s="6">
        <v>6.41</v>
      </c>
      <c r="C63" s="4">
        <v>70.180000000000007</v>
      </c>
      <c r="E63">
        <f t="shared" si="0"/>
        <v>449.85380000000004</v>
      </c>
      <c r="F63">
        <f t="shared" si="1"/>
        <v>41.088100000000004</v>
      </c>
    </row>
    <row r="64" spans="1:6" x14ac:dyDescent="0.35">
      <c r="A64" s="1" t="s">
        <v>63</v>
      </c>
      <c r="B64" s="6">
        <v>11.43</v>
      </c>
      <c r="C64" s="4">
        <v>82.15</v>
      </c>
      <c r="E64">
        <f t="shared" si="0"/>
        <v>938.97450000000003</v>
      </c>
      <c r="F64">
        <f t="shared" si="1"/>
        <v>130.64490000000001</v>
      </c>
    </row>
    <row r="65" spans="1:6" x14ac:dyDescent="0.35">
      <c r="A65" s="1" t="s">
        <v>64</v>
      </c>
      <c r="B65" s="6">
        <v>11.25</v>
      </c>
      <c r="C65" s="4">
        <v>84.41</v>
      </c>
      <c r="E65">
        <f t="shared" si="0"/>
        <v>949.61249999999995</v>
      </c>
      <c r="F65">
        <f t="shared" si="1"/>
        <v>126.5625</v>
      </c>
    </row>
    <row r="66" spans="1:6" x14ac:dyDescent="0.35">
      <c r="A66" s="1" t="s">
        <v>65</v>
      </c>
      <c r="B66" s="6">
        <v>11.48</v>
      </c>
      <c r="C66" s="4">
        <v>85.72</v>
      </c>
      <c r="E66">
        <f t="shared" si="0"/>
        <v>984.06560000000002</v>
      </c>
      <c r="F66">
        <f t="shared" si="1"/>
        <v>131.79040000000001</v>
      </c>
    </row>
    <row r="67" spans="1:6" x14ac:dyDescent="0.35">
      <c r="A67" s="1" t="s">
        <v>66</v>
      </c>
      <c r="B67" s="6">
        <v>11.05</v>
      </c>
      <c r="C67" s="4">
        <v>85.24</v>
      </c>
      <c r="E67">
        <f t="shared" ref="E67:E120" si="2">B67*C67</f>
        <v>941.90200000000004</v>
      </c>
      <c r="F67">
        <f t="shared" ref="F67:F120" si="3">B67^2</f>
        <v>122.10250000000002</v>
      </c>
    </row>
    <row r="68" spans="1:6" x14ac:dyDescent="0.35">
      <c r="A68" s="1" t="s">
        <v>67</v>
      </c>
      <c r="B68" s="6">
        <v>9.34</v>
      </c>
      <c r="C68" s="4">
        <v>77.209999999999994</v>
      </c>
      <c r="E68">
        <f t="shared" si="2"/>
        <v>721.14139999999998</v>
      </c>
      <c r="F68">
        <f t="shared" si="3"/>
        <v>87.235599999999991</v>
      </c>
    </row>
    <row r="69" spans="1:6" x14ac:dyDescent="0.35">
      <c r="A69" s="1" t="s">
        <v>68</v>
      </c>
      <c r="B69" s="6">
        <v>9.2799999999999994</v>
      </c>
      <c r="C69" s="4">
        <v>77.5</v>
      </c>
      <c r="E69">
        <f t="shared" si="2"/>
        <v>719.19999999999993</v>
      </c>
      <c r="F69">
        <f t="shared" si="3"/>
        <v>86.118399999999994</v>
      </c>
    </row>
    <row r="70" spans="1:6" x14ac:dyDescent="0.35">
      <c r="A70" s="1" t="s">
        <v>69</v>
      </c>
      <c r="B70" s="6">
        <v>9.1999999999999993</v>
      </c>
      <c r="C70" s="4">
        <v>76.180000000000007</v>
      </c>
      <c r="E70">
        <f t="shared" si="2"/>
        <v>700.85599999999999</v>
      </c>
      <c r="F70">
        <f t="shared" si="3"/>
        <v>84.639999999999986</v>
      </c>
    </row>
    <row r="71" spans="1:6" x14ac:dyDescent="0.35">
      <c r="A71" s="1" t="s">
        <v>70</v>
      </c>
      <c r="B71" s="6">
        <v>9.81</v>
      </c>
      <c r="C71" s="4">
        <v>82.05</v>
      </c>
      <c r="E71">
        <f t="shared" si="2"/>
        <v>804.91049999999996</v>
      </c>
      <c r="F71">
        <f t="shared" si="3"/>
        <v>96.236100000000008</v>
      </c>
    </row>
    <row r="72" spans="1:6" x14ac:dyDescent="0.35">
      <c r="A72" s="1" t="s">
        <v>71</v>
      </c>
      <c r="B72" s="6">
        <v>7.35</v>
      </c>
      <c r="C72" s="4">
        <v>72.14</v>
      </c>
      <c r="E72">
        <f t="shared" si="2"/>
        <v>530.22899999999993</v>
      </c>
      <c r="F72">
        <f t="shared" si="3"/>
        <v>54.022499999999994</v>
      </c>
    </row>
    <row r="73" spans="1:6" x14ac:dyDescent="0.35">
      <c r="A73" s="1" t="s">
        <v>72</v>
      </c>
      <c r="B73" s="6">
        <v>11.33</v>
      </c>
      <c r="C73" s="4">
        <v>85.71</v>
      </c>
      <c r="E73">
        <f t="shared" si="2"/>
        <v>971.09429999999998</v>
      </c>
      <c r="F73">
        <f t="shared" si="3"/>
        <v>128.3689</v>
      </c>
    </row>
    <row r="74" spans="1:6" x14ac:dyDescent="0.35">
      <c r="A74" s="1" t="s">
        <v>73</v>
      </c>
      <c r="B74" s="6">
        <v>12.12</v>
      </c>
      <c r="C74" s="4">
        <v>89.1</v>
      </c>
      <c r="E74">
        <f t="shared" si="2"/>
        <v>1079.8919999999998</v>
      </c>
      <c r="F74">
        <f t="shared" si="3"/>
        <v>146.89439999999999</v>
      </c>
    </row>
    <row r="75" spans="1:6" x14ac:dyDescent="0.35">
      <c r="A75" s="1" t="s">
        <v>74</v>
      </c>
      <c r="B75" s="6">
        <v>7.9</v>
      </c>
      <c r="C75" s="4">
        <v>71.489999999999995</v>
      </c>
      <c r="E75">
        <f t="shared" si="2"/>
        <v>564.77099999999996</v>
      </c>
      <c r="F75">
        <f t="shared" si="3"/>
        <v>62.410000000000004</v>
      </c>
    </row>
    <row r="76" spans="1:6" x14ac:dyDescent="0.35">
      <c r="A76" s="1" t="s">
        <v>75</v>
      </c>
      <c r="B76" s="6">
        <v>7.8</v>
      </c>
      <c r="C76" s="4">
        <v>73.7</v>
      </c>
      <c r="E76">
        <f t="shared" si="2"/>
        <v>574.86</v>
      </c>
      <c r="F76">
        <f t="shared" si="3"/>
        <v>60.839999999999996</v>
      </c>
    </row>
    <row r="77" spans="1:6" x14ac:dyDescent="0.35">
      <c r="A77" s="1" t="s">
        <v>76</v>
      </c>
      <c r="B77" s="6">
        <v>7.92</v>
      </c>
      <c r="C77" s="4">
        <v>72.47</v>
      </c>
      <c r="E77">
        <f t="shared" si="2"/>
        <v>573.9624</v>
      </c>
      <c r="F77">
        <f t="shared" si="3"/>
        <v>62.726399999999998</v>
      </c>
    </row>
    <row r="78" spans="1:6" x14ac:dyDescent="0.35">
      <c r="A78" s="1" t="s">
        <v>77</v>
      </c>
      <c r="B78" s="6">
        <v>8.68</v>
      </c>
      <c r="C78" s="4">
        <v>75.13</v>
      </c>
      <c r="E78">
        <f t="shared" si="2"/>
        <v>652.12839999999994</v>
      </c>
      <c r="F78">
        <f t="shared" si="3"/>
        <v>75.342399999999998</v>
      </c>
    </row>
    <row r="79" spans="1:6" x14ac:dyDescent="0.35">
      <c r="A79" s="1" t="s">
        <v>78</v>
      </c>
      <c r="B79" s="6">
        <v>7.87</v>
      </c>
      <c r="C79" s="4">
        <v>73.44</v>
      </c>
      <c r="E79">
        <f t="shared" si="2"/>
        <v>577.97280000000001</v>
      </c>
      <c r="F79">
        <f t="shared" si="3"/>
        <v>61.936900000000001</v>
      </c>
    </row>
    <row r="80" spans="1:6" x14ac:dyDescent="0.35">
      <c r="A80" s="1" t="s">
        <v>79</v>
      </c>
      <c r="B80" s="6">
        <v>8.26</v>
      </c>
      <c r="C80" s="4">
        <v>75.180000000000007</v>
      </c>
      <c r="E80">
        <f t="shared" si="2"/>
        <v>620.98680000000002</v>
      </c>
      <c r="F80">
        <f t="shared" si="3"/>
        <v>68.227599999999995</v>
      </c>
    </row>
    <row r="81" spans="1:6" x14ac:dyDescent="0.35">
      <c r="A81" s="1" t="s">
        <v>80</v>
      </c>
      <c r="B81" s="6">
        <v>7.8</v>
      </c>
      <c r="C81" s="4">
        <v>73.53</v>
      </c>
      <c r="E81">
        <f t="shared" si="2"/>
        <v>573.53399999999999</v>
      </c>
      <c r="F81">
        <f t="shared" si="3"/>
        <v>60.839999999999996</v>
      </c>
    </row>
    <row r="82" spans="1:6" x14ac:dyDescent="0.35">
      <c r="A82" s="1" t="s">
        <v>81</v>
      </c>
      <c r="B82" s="6">
        <v>7.27</v>
      </c>
      <c r="C82" s="4">
        <v>70.31</v>
      </c>
      <c r="E82">
        <f t="shared" si="2"/>
        <v>511.15370000000001</v>
      </c>
      <c r="F82">
        <f t="shared" si="3"/>
        <v>52.852899999999991</v>
      </c>
    </row>
    <row r="83" spans="1:6" x14ac:dyDescent="0.35">
      <c r="A83" s="1" t="s">
        <v>82</v>
      </c>
      <c r="B83" s="6">
        <v>6.54</v>
      </c>
      <c r="C83" s="4">
        <v>70.930000000000007</v>
      </c>
      <c r="E83">
        <f t="shared" si="2"/>
        <v>463.88220000000007</v>
      </c>
      <c r="F83">
        <f t="shared" si="3"/>
        <v>42.771599999999999</v>
      </c>
    </row>
    <row r="84" spans="1:6" x14ac:dyDescent="0.35">
      <c r="A84" s="1" t="s">
        <v>83</v>
      </c>
      <c r="B84" s="6">
        <v>7.78</v>
      </c>
      <c r="C84" s="4">
        <v>74.3</v>
      </c>
      <c r="E84">
        <f t="shared" si="2"/>
        <v>578.05399999999997</v>
      </c>
      <c r="F84">
        <f t="shared" si="3"/>
        <v>60.528400000000005</v>
      </c>
    </row>
    <row r="85" spans="1:6" x14ac:dyDescent="0.35">
      <c r="A85" s="1" t="s">
        <v>84</v>
      </c>
      <c r="B85" s="6">
        <v>6.53</v>
      </c>
      <c r="C85" s="4">
        <v>71.22</v>
      </c>
      <c r="E85">
        <f t="shared" si="2"/>
        <v>465.06659999999999</v>
      </c>
      <c r="F85">
        <f t="shared" si="3"/>
        <v>42.640900000000002</v>
      </c>
    </row>
    <row r="86" spans="1:6" x14ac:dyDescent="0.35">
      <c r="A86" s="1" t="s">
        <v>85</v>
      </c>
      <c r="B86" s="6">
        <v>6.93</v>
      </c>
      <c r="C86" s="4">
        <v>71.22</v>
      </c>
      <c r="E86">
        <f t="shared" si="2"/>
        <v>493.55459999999999</v>
      </c>
      <c r="F86">
        <f t="shared" si="3"/>
        <v>48.024899999999995</v>
      </c>
    </row>
    <row r="87" spans="1:6" x14ac:dyDescent="0.35">
      <c r="A87" s="1" t="s">
        <v>86</v>
      </c>
      <c r="B87" s="6">
        <v>6.31</v>
      </c>
      <c r="C87" s="4">
        <v>70.849999999999994</v>
      </c>
      <c r="E87">
        <f t="shared" si="2"/>
        <v>447.06349999999992</v>
      </c>
      <c r="F87">
        <f t="shared" si="3"/>
        <v>39.816099999999992</v>
      </c>
    </row>
    <row r="88" spans="1:6" x14ac:dyDescent="0.35">
      <c r="A88" s="1" t="s">
        <v>87</v>
      </c>
      <c r="B88" s="6">
        <v>7.46</v>
      </c>
      <c r="C88" s="4">
        <v>72.36</v>
      </c>
      <c r="E88">
        <f t="shared" si="2"/>
        <v>539.80560000000003</v>
      </c>
      <c r="F88">
        <f t="shared" si="3"/>
        <v>55.651600000000002</v>
      </c>
    </row>
    <row r="89" spans="1:6" x14ac:dyDescent="0.35">
      <c r="A89" s="1" t="s">
        <v>88</v>
      </c>
      <c r="B89" s="6">
        <v>10.91</v>
      </c>
      <c r="C89" s="4">
        <v>82.67</v>
      </c>
      <c r="E89">
        <f t="shared" si="2"/>
        <v>901.92970000000003</v>
      </c>
      <c r="F89">
        <f t="shared" si="3"/>
        <v>119.02810000000001</v>
      </c>
    </row>
    <row r="90" spans="1:6" x14ac:dyDescent="0.35">
      <c r="A90" s="1" t="s">
        <v>89</v>
      </c>
      <c r="B90" s="6">
        <v>9.1300000000000008</v>
      </c>
      <c r="C90" s="4">
        <v>76.69</v>
      </c>
      <c r="E90">
        <f t="shared" si="2"/>
        <v>700.17970000000003</v>
      </c>
      <c r="F90">
        <f t="shared" si="3"/>
        <v>83.35690000000001</v>
      </c>
    </row>
    <row r="91" spans="1:6" x14ac:dyDescent="0.35">
      <c r="A91" s="1" t="s">
        <v>90</v>
      </c>
      <c r="B91" s="6">
        <v>8.7799999999999994</v>
      </c>
      <c r="C91" s="4">
        <v>75.67</v>
      </c>
      <c r="E91">
        <f t="shared" si="2"/>
        <v>664.38259999999991</v>
      </c>
      <c r="F91">
        <f t="shared" si="3"/>
        <v>77.088399999999993</v>
      </c>
    </row>
    <row r="92" spans="1:6" x14ac:dyDescent="0.35">
      <c r="A92" s="1" t="s">
        <v>91</v>
      </c>
      <c r="B92" s="6">
        <v>8.25</v>
      </c>
      <c r="C92" s="4">
        <v>75.239999999999995</v>
      </c>
      <c r="E92">
        <f t="shared" si="2"/>
        <v>620.7299999999999</v>
      </c>
      <c r="F92">
        <f t="shared" si="3"/>
        <v>68.0625</v>
      </c>
    </row>
    <row r="93" spans="1:6" x14ac:dyDescent="0.35">
      <c r="A93" s="1" t="s">
        <v>92</v>
      </c>
      <c r="B93" s="6">
        <v>8.1999999999999993</v>
      </c>
      <c r="C93" s="4">
        <v>74.81</v>
      </c>
      <c r="E93">
        <f t="shared" si="2"/>
        <v>613.44200000000001</v>
      </c>
      <c r="F93">
        <f t="shared" si="3"/>
        <v>67.239999999999995</v>
      </c>
    </row>
    <row r="94" spans="1:6" x14ac:dyDescent="0.35">
      <c r="A94" s="1" t="s">
        <v>93</v>
      </c>
      <c r="B94" s="6">
        <v>8.69</v>
      </c>
      <c r="C94" s="4">
        <v>76.77</v>
      </c>
      <c r="E94">
        <f t="shared" si="2"/>
        <v>667.1312999999999</v>
      </c>
      <c r="F94">
        <f t="shared" si="3"/>
        <v>75.516099999999994</v>
      </c>
    </row>
    <row r="95" spans="1:6" x14ac:dyDescent="0.35">
      <c r="A95" s="1" t="s">
        <v>94</v>
      </c>
      <c r="B95" s="6">
        <v>7.84</v>
      </c>
      <c r="C95" s="4">
        <v>73.91</v>
      </c>
      <c r="E95">
        <f t="shared" si="2"/>
        <v>579.45439999999996</v>
      </c>
      <c r="F95">
        <f t="shared" si="3"/>
        <v>61.465599999999995</v>
      </c>
    </row>
    <row r="96" spans="1:6" x14ac:dyDescent="0.35">
      <c r="A96" s="1" t="s">
        <v>95</v>
      </c>
      <c r="B96" s="6">
        <v>7.59</v>
      </c>
      <c r="C96" s="4">
        <v>72.75</v>
      </c>
      <c r="E96">
        <f t="shared" si="2"/>
        <v>552.17250000000001</v>
      </c>
      <c r="F96">
        <f t="shared" si="3"/>
        <v>57.6081</v>
      </c>
    </row>
    <row r="97" spans="1:6" x14ac:dyDescent="0.35">
      <c r="A97" s="1" t="s">
        <v>96</v>
      </c>
      <c r="B97" s="6">
        <v>7.53</v>
      </c>
      <c r="C97" s="4">
        <v>72.31</v>
      </c>
      <c r="E97">
        <f t="shared" si="2"/>
        <v>544.49430000000007</v>
      </c>
      <c r="F97">
        <f t="shared" si="3"/>
        <v>56.700900000000004</v>
      </c>
    </row>
    <row r="98" spans="1:6" x14ac:dyDescent="0.35">
      <c r="A98" s="1" t="s">
        <v>97</v>
      </c>
      <c r="B98" s="6">
        <v>8.48</v>
      </c>
      <c r="C98" s="4">
        <v>75.900000000000006</v>
      </c>
      <c r="E98">
        <f t="shared" si="2"/>
        <v>643.63200000000006</v>
      </c>
      <c r="F98">
        <f t="shared" si="3"/>
        <v>71.91040000000001</v>
      </c>
    </row>
    <row r="99" spans="1:6" x14ac:dyDescent="0.35">
      <c r="A99" s="1" t="s">
        <v>98</v>
      </c>
      <c r="B99" s="6">
        <v>10.029999999999999</v>
      </c>
      <c r="C99" s="4">
        <v>78.930000000000007</v>
      </c>
      <c r="E99">
        <f t="shared" si="2"/>
        <v>791.66790000000003</v>
      </c>
      <c r="F99">
        <f t="shared" si="3"/>
        <v>100.60089999999998</v>
      </c>
    </row>
    <row r="100" spans="1:6" x14ac:dyDescent="0.35">
      <c r="A100" s="1" t="s">
        <v>99</v>
      </c>
      <c r="B100" s="6">
        <v>6.01</v>
      </c>
      <c r="C100" s="4">
        <v>67.33</v>
      </c>
      <c r="E100">
        <f t="shared" si="2"/>
        <v>404.6533</v>
      </c>
      <c r="F100">
        <f t="shared" si="3"/>
        <v>36.120100000000001</v>
      </c>
    </row>
    <row r="101" spans="1:6" x14ac:dyDescent="0.35">
      <c r="A101" s="1" t="s">
        <v>100</v>
      </c>
      <c r="B101" s="6">
        <v>5.08</v>
      </c>
      <c r="C101" s="4">
        <v>66.72</v>
      </c>
      <c r="E101">
        <f t="shared" si="2"/>
        <v>338.93759999999997</v>
      </c>
      <c r="F101">
        <f t="shared" si="3"/>
        <v>25.8064</v>
      </c>
    </row>
    <row r="102" spans="1:6" x14ac:dyDescent="0.35">
      <c r="A102" s="1" t="s">
        <v>101</v>
      </c>
      <c r="B102" s="6">
        <v>7.17</v>
      </c>
      <c r="C102" s="4">
        <v>70.849999999999994</v>
      </c>
      <c r="E102">
        <f t="shared" si="2"/>
        <v>507.99449999999996</v>
      </c>
      <c r="F102">
        <f t="shared" si="3"/>
        <v>51.408899999999996</v>
      </c>
    </row>
    <row r="103" spans="1:6" x14ac:dyDescent="0.35">
      <c r="A103" s="1" t="s">
        <v>102</v>
      </c>
      <c r="B103" s="6">
        <v>6.1</v>
      </c>
      <c r="C103" s="4">
        <v>69.78</v>
      </c>
      <c r="E103">
        <f t="shared" si="2"/>
        <v>425.65799999999996</v>
      </c>
      <c r="F103">
        <f t="shared" si="3"/>
        <v>37.209999999999994</v>
      </c>
    </row>
    <row r="104" spans="1:6" x14ac:dyDescent="0.35">
      <c r="A104" s="1" t="s">
        <v>103</v>
      </c>
      <c r="B104" s="6">
        <v>10.92</v>
      </c>
      <c r="C104" s="4">
        <v>81.88</v>
      </c>
      <c r="E104">
        <f t="shared" si="2"/>
        <v>894.12959999999998</v>
      </c>
      <c r="F104">
        <f t="shared" si="3"/>
        <v>119.24639999999999</v>
      </c>
    </row>
    <row r="105" spans="1:6" x14ac:dyDescent="0.35">
      <c r="A105" s="1" t="s">
        <v>104</v>
      </c>
      <c r="B105" s="6">
        <v>10.82</v>
      </c>
      <c r="C105" s="4">
        <v>81.44</v>
      </c>
      <c r="E105">
        <f t="shared" si="2"/>
        <v>881.18079999999998</v>
      </c>
      <c r="F105">
        <f t="shared" si="3"/>
        <v>117.0724</v>
      </c>
    </row>
    <row r="106" spans="1:6" x14ac:dyDescent="0.35">
      <c r="A106" s="1" t="s">
        <v>105</v>
      </c>
      <c r="B106" s="6">
        <v>11.14</v>
      </c>
      <c r="C106" s="4">
        <v>84.68</v>
      </c>
      <c r="E106">
        <f t="shared" si="2"/>
        <v>943.3352000000001</v>
      </c>
      <c r="F106">
        <f t="shared" si="3"/>
        <v>124.09960000000001</v>
      </c>
    </row>
    <row r="107" spans="1:6" x14ac:dyDescent="0.35">
      <c r="A107" s="1" t="s">
        <v>106</v>
      </c>
      <c r="B107" s="6">
        <v>9.7200000000000006</v>
      </c>
      <c r="C107" s="4">
        <v>77.790000000000006</v>
      </c>
      <c r="E107">
        <f t="shared" si="2"/>
        <v>756.11880000000008</v>
      </c>
      <c r="F107">
        <f t="shared" si="3"/>
        <v>94.478400000000008</v>
      </c>
    </row>
    <row r="108" spans="1:6" x14ac:dyDescent="0.35">
      <c r="A108" s="1" t="s">
        <v>107</v>
      </c>
      <c r="B108" s="6">
        <v>9.94</v>
      </c>
      <c r="C108" s="4">
        <v>78.900000000000006</v>
      </c>
      <c r="E108">
        <f t="shared" si="2"/>
        <v>784.26599999999996</v>
      </c>
      <c r="F108">
        <f t="shared" si="3"/>
        <v>98.803599999999989</v>
      </c>
    </row>
    <row r="109" spans="1:6" x14ac:dyDescent="0.35">
      <c r="A109" s="1" t="s">
        <v>108</v>
      </c>
      <c r="B109" s="6">
        <v>11.38</v>
      </c>
      <c r="C109" s="4">
        <v>81.760000000000005</v>
      </c>
      <c r="E109">
        <f t="shared" si="2"/>
        <v>930.42880000000014</v>
      </c>
      <c r="F109">
        <f t="shared" si="3"/>
        <v>129.5044</v>
      </c>
    </row>
    <row r="110" spans="1:6" x14ac:dyDescent="0.35">
      <c r="A110" s="1" t="s">
        <v>109</v>
      </c>
      <c r="B110" s="6">
        <v>12.11</v>
      </c>
      <c r="C110" s="4">
        <v>84.51</v>
      </c>
      <c r="E110">
        <f t="shared" si="2"/>
        <v>1023.4161</v>
      </c>
      <c r="F110">
        <f t="shared" si="3"/>
        <v>146.65209999999999</v>
      </c>
    </row>
    <row r="111" spans="1:6" x14ac:dyDescent="0.35">
      <c r="A111" s="1" t="s">
        <v>110</v>
      </c>
      <c r="B111" s="6">
        <v>10.89</v>
      </c>
      <c r="C111" s="4">
        <v>84.69</v>
      </c>
      <c r="E111">
        <f t="shared" si="2"/>
        <v>922.27409999999998</v>
      </c>
      <c r="F111">
        <f t="shared" si="3"/>
        <v>118.59210000000002</v>
      </c>
    </row>
    <row r="112" spans="1:6" x14ac:dyDescent="0.35">
      <c r="A112" s="1" t="s">
        <v>111</v>
      </c>
      <c r="B112" s="6">
        <v>9.8699999999999992</v>
      </c>
      <c r="C112" s="4">
        <v>79.69</v>
      </c>
      <c r="E112">
        <f t="shared" si="2"/>
        <v>786.54029999999989</v>
      </c>
      <c r="F112">
        <f t="shared" si="3"/>
        <v>97.416899999999984</v>
      </c>
    </row>
    <row r="113" spans="1:6" x14ac:dyDescent="0.35">
      <c r="A113" s="1" t="s">
        <v>112</v>
      </c>
      <c r="B113" s="6">
        <v>7.16</v>
      </c>
      <c r="C113" s="4">
        <v>70.88</v>
      </c>
      <c r="E113">
        <f t="shared" si="2"/>
        <v>507.50079999999997</v>
      </c>
      <c r="F113">
        <f t="shared" si="3"/>
        <v>51.265599999999999</v>
      </c>
    </row>
    <row r="114" spans="1:6" x14ac:dyDescent="0.35">
      <c r="A114" s="1" t="s">
        <v>113</v>
      </c>
      <c r="B114" s="6">
        <v>6.61</v>
      </c>
      <c r="C114" s="4">
        <v>68.33</v>
      </c>
      <c r="E114">
        <f t="shared" si="2"/>
        <v>451.66129999999998</v>
      </c>
      <c r="F114">
        <f t="shared" si="3"/>
        <v>43.692100000000003</v>
      </c>
    </row>
    <row r="115" spans="1:6" x14ac:dyDescent="0.35">
      <c r="A115" s="1" t="s">
        <v>114</v>
      </c>
      <c r="B115" s="6">
        <v>9.06</v>
      </c>
      <c r="C115" s="4">
        <v>76.19</v>
      </c>
      <c r="E115">
        <f t="shared" si="2"/>
        <v>690.28139999999996</v>
      </c>
      <c r="F115">
        <f t="shared" si="3"/>
        <v>82.083600000000004</v>
      </c>
    </row>
    <row r="116" spans="1:6" x14ac:dyDescent="0.35">
      <c r="A116" s="1" t="s">
        <v>115</v>
      </c>
      <c r="B116" s="6">
        <v>7.88</v>
      </c>
      <c r="C116" s="4">
        <v>73.28</v>
      </c>
      <c r="E116">
        <f t="shared" si="2"/>
        <v>577.44640000000004</v>
      </c>
      <c r="F116">
        <f t="shared" si="3"/>
        <v>62.0944</v>
      </c>
    </row>
    <row r="117" spans="1:6" x14ac:dyDescent="0.35">
      <c r="A117" s="1" t="s">
        <v>116</v>
      </c>
      <c r="B117" s="6">
        <v>11.14</v>
      </c>
      <c r="C117" s="4">
        <v>81.53</v>
      </c>
      <c r="E117">
        <f t="shared" si="2"/>
        <v>908.24420000000009</v>
      </c>
      <c r="F117">
        <f t="shared" si="3"/>
        <v>124.09960000000001</v>
      </c>
    </row>
    <row r="118" spans="1:6" x14ac:dyDescent="0.35">
      <c r="A118" s="1" t="s">
        <v>117</v>
      </c>
      <c r="B118" s="6">
        <v>10.39</v>
      </c>
      <c r="C118" s="4">
        <v>78.83</v>
      </c>
      <c r="E118">
        <f t="shared" si="2"/>
        <v>819.04370000000006</v>
      </c>
      <c r="F118">
        <f t="shared" si="3"/>
        <v>107.95210000000002</v>
      </c>
    </row>
    <row r="119" spans="1:6" x14ac:dyDescent="0.35">
      <c r="A119" s="1" t="s">
        <v>118</v>
      </c>
      <c r="B119" s="6">
        <v>8.93</v>
      </c>
      <c r="C119" s="4">
        <v>76.900000000000006</v>
      </c>
      <c r="E119">
        <f t="shared" si="2"/>
        <v>686.71699999999998</v>
      </c>
      <c r="F119">
        <f t="shared" si="3"/>
        <v>79.744900000000001</v>
      </c>
    </row>
    <row r="120" spans="1:6" x14ac:dyDescent="0.35">
      <c r="A120" s="1" t="s">
        <v>119</v>
      </c>
      <c r="B120" s="6">
        <v>11.86</v>
      </c>
      <c r="C120" s="4">
        <v>84.16</v>
      </c>
      <c r="E120">
        <f t="shared" si="2"/>
        <v>998.13759999999991</v>
      </c>
      <c r="F120">
        <f t="shared" si="3"/>
        <v>140.65959999999998</v>
      </c>
    </row>
    <row r="121" spans="1:6" x14ac:dyDescent="0.35">
      <c r="B121" s="3">
        <f>SUM(B2:B120)</f>
        <v>1051.0499999999995</v>
      </c>
      <c r="C121" s="3">
        <f>SUM(C2:C120)</f>
        <v>9013.7900000000045</v>
      </c>
      <c r="E121" s="3">
        <f>SUM(E2:E120)</f>
        <v>80530.6446</v>
      </c>
      <c r="F121" s="3">
        <f>SUM(F2:F120)</f>
        <v>9602.436700000002</v>
      </c>
    </row>
    <row r="122" spans="1:6" x14ac:dyDescent="0.35">
      <c r="B122" s="3">
        <f>B121^2</f>
        <v>1104706.1024999989</v>
      </c>
      <c r="C122" s="3">
        <f>AVERAGE(C2:C120)</f>
        <v>75.746134453781551</v>
      </c>
    </row>
    <row r="123" spans="1:6" x14ac:dyDescent="0.35">
      <c r="B123" s="3">
        <f>AVERAGE(B2:B120)</f>
        <v>8.8323529411764667</v>
      </c>
    </row>
    <row r="124" spans="1:6" x14ac:dyDescent="0.35">
      <c r="B124">
        <f>E121-B121*C121/COUNT(B2:B120)</f>
        <v>917.66998235294886</v>
      </c>
      <c r="C124" s="8" t="s">
        <v>123</v>
      </c>
      <c r="D124" s="8">
        <v>2.874976742756234</v>
      </c>
    </row>
    <row r="125" spans="1:6" x14ac:dyDescent="0.35">
      <c r="B125">
        <f>F121-B122/COUNT(B2:B120)</f>
        <v>319.19214117648153</v>
      </c>
      <c r="C125" s="8" t="s">
        <v>122</v>
      </c>
      <c r="D125" s="8">
        <f>C122-D124*B123</f>
        <v>50.353325164084588</v>
      </c>
    </row>
    <row r="126" spans="1:6" x14ac:dyDescent="0.35">
      <c r="C126" s="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Khayruhanif</dc:creator>
  <cp:lastModifiedBy>Muhammad Khayruhanif</cp:lastModifiedBy>
  <dcterms:created xsi:type="dcterms:W3CDTF">2026-02-03T07:14:02Z</dcterms:created>
  <dcterms:modified xsi:type="dcterms:W3CDTF">2026-02-03T07:29:51Z</dcterms:modified>
</cp:coreProperties>
</file>